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rry list" sheetId="1" r:id="rId4"/>
    <sheet state="visible" name="Catalog" sheetId="2" r:id="rId5"/>
  </sheets>
  <definedNames/>
  <calcPr/>
  <extLst>
    <ext uri="GoogleSheetsCustomDataVersion2">
      <go:sheetsCustomData xmlns:go="http://customooxmlschemas.google.com/" r:id="rId6" roundtripDataChecksum="sHde1wWuUVD1cZus2nkniLNK1q0S4oMZdLcwuMu81BI="/>
    </ext>
  </extLst>
</workbook>
</file>

<file path=xl/sharedStrings.xml><?xml version="1.0" encoding="utf-8"?>
<sst xmlns="http://schemas.openxmlformats.org/spreadsheetml/2006/main" count="1212" uniqueCount="351">
  <si>
    <t>Hardcore leveling kit</t>
  </si>
  <si>
    <t>Highest eligible ranks. Emergency items are included under Potions. Details and alternatives are in Catalog.</t>
  </si>
  <si>
    <t>Class</t>
  </si>
  <si>
    <t>Hunter</t>
  </si>
  <si>
    <t>Level</t>
  </si>
  <si>
    <t>Potions share a cooldown.</t>
  </si>
  <si>
    <t>Competing buffs are alternatives.</t>
  </si>
  <si>
    <t>Choose one food buff.</t>
  </si>
  <si>
    <t>Potions</t>
  </si>
  <si>
    <t>Elixirs</t>
  </si>
  <si>
    <t>Food</t>
  </si>
  <si>
    <t>Item</t>
  </si>
  <si>
    <t>Buff / effect</t>
  </si>
  <si>
    <t>Lvl</t>
  </si>
  <si>
    <t>Consumable catalog</t>
  </si>
  <si>
    <t>Edit Include to control your kit. Level and class selection apply automatically. Food choices are alternatives.</t>
  </si>
  <si>
    <t>Original 80 consumables retained. Food levels and buffs use Classic item references in K. Original source values are in P:T.</t>
  </si>
  <si>
    <t>Food guide:</t>
  </si>
  <si>
    <t>https://www.wowhead.com/classic/guide/wow-classic-best-food</t>
  </si>
  <si>
    <t>Food: eat for at least 10 seconds for Well Fed. Vendor recovery food usually has no buff. Premium food is optional.</t>
  </si>
  <si>
    <t>Section</t>
  </si>
  <si>
    <t>Effect / duration</t>
  </si>
  <si>
    <t>Min level</t>
  </si>
  <si>
    <t>Classes</t>
  </si>
  <si>
    <t>Category</t>
  </si>
  <si>
    <t>Item family</t>
  </si>
  <si>
    <t>Rank</t>
  </si>
  <si>
    <t>Include</t>
  </si>
  <si>
    <t>Notes / alternatives</t>
  </si>
  <si>
    <t>Source</t>
  </si>
  <si>
    <t>Eligible</t>
  </si>
  <si>
    <t>Higher ranks</t>
  </si>
  <si>
    <t>Show</t>
  </si>
  <si>
    <t>Section order</t>
  </si>
  <si>
    <t>Original effect</t>
  </si>
  <si>
    <t>Original level</t>
  </si>
  <si>
    <t>Original classes</t>
  </si>
  <si>
    <t>Original category</t>
  </si>
  <si>
    <t>Original type</t>
  </si>
  <si>
    <t>Minor Healing Potion</t>
  </si>
  <si>
    <t>Health Restore</t>
  </si>
  <si>
    <t>All</t>
  </si>
  <si>
    <t>Essential</t>
  </si>
  <si>
    <t>Potion / Health Restore</t>
  </si>
  <si>
    <t>Yes</t>
  </si>
  <si>
    <t>Keep your best healing rank stocked.</t>
  </si>
  <si>
    <t>Original workbook</t>
  </si>
  <si>
    <t>Healing</t>
  </si>
  <si>
    <t>Potion</t>
  </si>
  <si>
    <t>Lesser Healing Potion</t>
  </si>
  <si>
    <t>Healing Potion</t>
  </si>
  <si>
    <t>Greater Healing Potion</t>
  </si>
  <si>
    <t>Superior Healing Potion</t>
  </si>
  <si>
    <t>Major Healing Potion</t>
  </si>
  <si>
    <t>Minor Mana Potion</t>
  </si>
  <si>
    <t>Mana Restore</t>
  </si>
  <si>
    <t>Priest, Mage, Warlock, Druid, Shaman, Paladin, Hunter</t>
  </si>
  <si>
    <t>Potion / Mana Restore</t>
  </si>
  <si>
    <t>Mana recovery. Shared potion cooldown.</t>
  </si>
  <si>
    <t>Mana</t>
  </si>
  <si>
    <t>Lesser Mana Potion</t>
  </si>
  <si>
    <t>Mana Potion</t>
  </si>
  <si>
    <t>Greater Mana Potion</t>
  </si>
  <si>
    <t>Superior Mana Potion</t>
  </si>
  <si>
    <t>Major Mana Potion</t>
  </si>
  <si>
    <t>Swiftness Potion</t>
  </si>
  <si>
    <t>Run Speed</t>
  </si>
  <si>
    <t>Potion / Run Speed</t>
  </si>
  <si>
    <t>Escape speed. Plan your route first.</t>
  </si>
  <si>
    <t>Movement</t>
  </si>
  <si>
    <t>Free Action Potion</t>
  </si>
  <si>
    <t>Stun/Slow Immunity</t>
  </si>
  <si>
    <t>Potion / Stun/Slow Immunity</t>
  </si>
  <si>
    <t>Use before stuns / slows. Not a cleanse.</t>
  </si>
  <si>
    <t>Control Immunity</t>
  </si>
  <si>
    <t>Swim Speed Potion</t>
  </si>
  <si>
    <t>Swim Speed</t>
  </si>
  <si>
    <t>Emergency</t>
  </si>
  <si>
    <t>Potion / Swim Speed</t>
  </si>
  <si>
    <t>Water-route emergency. Not water breathing.</t>
  </si>
  <si>
    <t>Limited Invulnerability Potion</t>
  </si>
  <si>
    <t>Physical Immunity</t>
  </si>
  <si>
    <t>Potion / Physical Immunity</t>
  </si>
  <si>
    <t>Physical immunity for 6 sec. Not spells.</t>
  </si>
  <si>
    <t>https://www.wowhead.com/classic/item=3387</t>
  </si>
  <si>
    <t>Immunity</t>
  </si>
  <si>
    <t>Living Action Potion</t>
  </si>
  <si>
    <t>Stun / movement-control immunity</t>
  </si>
  <si>
    <t>Potion / Root/Stun Immunity</t>
  </si>
  <si>
    <t>Brief protection from stuns / slows.</t>
  </si>
  <si>
    <t>https://www.wowhead.com/classic/item=20008</t>
  </si>
  <si>
    <t>Root/Stun Immunity</t>
  </si>
  <si>
    <t>Restorative Potion</t>
  </si>
  <si>
    <t>Periodic magic, curse, poison / disease removal</t>
  </si>
  <si>
    <t>Periodic cleanse. Magic / curse / poison / disease.</t>
  </si>
  <si>
    <t>https://www.wowhead.com/classic/item=9030</t>
  </si>
  <si>
    <t>Poison/Disease Removal</t>
  </si>
  <si>
    <t>Dispel</t>
  </si>
  <si>
    <t>Purification Potion</t>
  </si>
  <si>
    <t>Curse, disease and poison removal</t>
  </si>
  <si>
    <t>Attempts curse / disease / poison removal.</t>
  </si>
  <si>
    <t>https://www.wowhead.com/classic/item=13462</t>
  </si>
  <si>
    <t>Lesser Invisibility Potion</t>
  </si>
  <si>
    <t>Invisibility</t>
  </si>
  <si>
    <t>Potion / Invisibility</t>
  </si>
  <si>
    <t>Use out of combat. Plan your route.</t>
  </si>
  <si>
    <t>Utility</t>
  </si>
  <si>
    <t>Invisibility Potion</t>
  </si>
  <si>
    <t>Flask of Petrification</t>
  </si>
  <si>
    <t>Damage Immunity</t>
  </si>
  <si>
    <t>Flask / Damage Immunity</t>
  </si>
  <si>
    <t>Costly. Blocks damage; prevents movement / casting.</t>
  </si>
  <si>
    <t>https://www.wowhead.com/classic/item=13506</t>
  </si>
  <si>
    <t>Flask</t>
  </si>
  <si>
    <t>Weak Troll's Blood Potion</t>
  </si>
  <si>
    <t>Health Regen</t>
  </si>
  <si>
    <t>Buff</t>
  </si>
  <si>
    <t>Potion / Health Regen</t>
  </si>
  <si>
    <t>Optional. Match your build and route.</t>
  </si>
  <si>
    <t>Regeneration</t>
  </si>
  <si>
    <t>Strong Troll's Blood Potion</t>
  </si>
  <si>
    <t>Mighty Troll's Blood Potion</t>
  </si>
  <si>
    <t>Major Troll's Blood Potion</t>
  </si>
  <si>
    <t>Mageblood Potion</t>
  </si>
  <si>
    <t>Mana Regen</t>
  </si>
  <si>
    <t>Potion / Mana Regen</t>
  </si>
  <si>
    <t>Minor Rejuvenation Potion</t>
  </si>
  <si>
    <t>Health + Mana Restore</t>
  </si>
  <si>
    <t>Situational</t>
  </si>
  <si>
    <t>Potion / Health + Mana Restore</t>
  </si>
  <si>
    <t>No</t>
  </si>
  <si>
    <t>Hybrid Restore</t>
  </si>
  <si>
    <t>Major Rejuvenation Potion</t>
  </si>
  <si>
    <t>Rage Potion</t>
  </si>
  <si>
    <t>Rage Restore</t>
  </si>
  <si>
    <t>Warrior</t>
  </si>
  <si>
    <t>Potion / Rage Restore</t>
  </si>
  <si>
    <t>Rage</t>
  </si>
  <si>
    <t>Great Rage Potion</t>
  </si>
  <si>
    <t>Mighty Rage Potion</t>
  </si>
  <si>
    <t>Lesser Stoneshield Potion</t>
  </si>
  <si>
    <t>Armor</t>
  </si>
  <si>
    <t>Warrior, Paladin</t>
  </si>
  <si>
    <t>Potion / Armor</t>
  </si>
  <si>
    <t>Defense</t>
  </si>
  <si>
    <t>Greater Stoneshield Potion</t>
  </si>
  <si>
    <t>Dreamless Sleep Potion</t>
  </si>
  <si>
    <t>Health + mana while sleeping</t>
  </si>
  <si>
    <t>Potion / Sleep Effect</t>
  </si>
  <si>
    <t>Puts you to sleep. Use somewhere safe.</t>
  </si>
  <si>
    <t>Sleep Effect</t>
  </si>
  <si>
    <t>Greater Dreamless Sleep Potion</t>
  </si>
  <si>
    <t>Wildvine Potion</t>
  </si>
  <si>
    <t>Random health + mana restoration</t>
  </si>
  <si>
    <t>Potion / Random Buff</t>
  </si>
  <si>
    <t>Unreliable emergency healing.</t>
  </si>
  <si>
    <t>https://www.wowhead.com/classic/item=9144</t>
  </si>
  <si>
    <t>Random Buff</t>
  </si>
  <si>
    <t>R.O.I.D.S.</t>
  </si>
  <si>
    <t>Strength</t>
  </si>
  <si>
    <t>Warrior, Paladin, Druid, Shaman</t>
  </si>
  <si>
    <t>Consumable / Strength</t>
  </si>
  <si>
    <t>Consumable</t>
  </si>
  <si>
    <t>Ground Scorpok Assay</t>
  </si>
  <si>
    <t>Agility</t>
  </si>
  <si>
    <t>Rogue, Hunter, Druid</t>
  </si>
  <si>
    <t>Consumable / Agility</t>
  </si>
  <si>
    <t>Gizzard Gum</t>
  </si>
  <si>
    <t>Spirit</t>
  </si>
  <si>
    <t>Consumable / Spirit</t>
  </si>
  <si>
    <t>Quest consumable. Not a Strength buff.</t>
  </si>
  <si>
    <t>https://www.wowhead.com/classic/item=8424</t>
  </si>
  <si>
    <t>Cerebral Cortex Compound</t>
  </si>
  <si>
    <t>Intellect</t>
  </si>
  <si>
    <t>Consumable / Intellect</t>
  </si>
  <si>
    <t>Lung Juice Cocktail</t>
  </si>
  <si>
    <t>Stamina</t>
  </si>
  <si>
    <t>Consumable / Stamina</t>
  </si>
  <si>
    <t>Spirit of Zanza</t>
  </si>
  <si>
    <t>Spirit + Stamina</t>
  </si>
  <si>
    <t>Consumable / Spirit + Stamina</t>
  </si>
  <si>
    <t>Requires reputation. Check buff conflicts.</t>
  </si>
  <si>
    <t>https://www.wowhead.com/classic/item=20079</t>
  </si>
  <si>
    <t>Spell Power</t>
  </si>
  <si>
    <t>Mage, Warlock, Shaman, Priest, Druid, Paladin</t>
  </si>
  <si>
    <t>Swiftness of Zanza</t>
  </si>
  <si>
    <t>Movement Speed</t>
  </si>
  <si>
    <t>Consumable / Movement Speed</t>
  </si>
  <si>
    <t>Sheen of Zanza</t>
  </si>
  <si>
    <t>Spell reflection</t>
  </si>
  <si>
    <t>Consumable / Reflection</t>
  </si>
  <si>
    <t>Reputation consumable. Not a Stamina buff.</t>
  </si>
  <si>
    <t>https://www.wowhead.com/classic/item=20080</t>
  </si>
  <si>
    <t>Elixir of Minor Defense</t>
  </si>
  <si>
    <t>Elixir / Armor</t>
  </si>
  <si>
    <t>Elixir</t>
  </si>
  <si>
    <t>Elixir of Defense</t>
  </si>
  <si>
    <t>Elixir of Greater Defense</t>
  </si>
  <si>
    <t>Elixir of Superior Defense</t>
  </si>
  <si>
    <t>Elixir of Minor Fortitude</t>
  </si>
  <si>
    <t>Maximum health</t>
  </si>
  <si>
    <t>Elixir / Stamina</t>
  </si>
  <si>
    <t>Fortitude</t>
  </si>
  <si>
    <t>Elixir of Fortitude</t>
  </si>
  <si>
    <t>Adds maximum health.</t>
  </si>
  <si>
    <t>https://www.wowhead.com/classic/item=3825</t>
  </si>
  <si>
    <t>Elixir of Minor Agility</t>
  </si>
  <si>
    <t>Elixir / Agility</t>
  </si>
  <si>
    <t>Elixir of Lesser Agility</t>
  </si>
  <si>
    <t>Elixir of Agility</t>
  </si>
  <si>
    <t>Elixir of Greater Agility</t>
  </si>
  <si>
    <t>Elixir of Lion's Strength</t>
  </si>
  <si>
    <t>Elixir / Strength</t>
  </si>
  <si>
    <t>Elixir of Ogre's Strength</t>
  </si>
  <si>
    <t>Elixir of Giants</t>
  </si>
  <si>
    <t>Elixir of Brute Force</t>
  </si>
  <si>
    <t>Strength + Stamina</t>
  </si>
  <si>
    <t>Elixir / Strength + Stamina</t>
  </si>
  <si>
    <t>Alternative to pure Strength. Compare buffs.</t>
  </si>
  <si>
    <t>https://www.wowhead.com/classic/item=13453</t>
  </si>
  <si>
    <t>Elixir of Wisdom</t>
  </si>
  <si>
    <t>Elixir / Intellect</t>
  </si>
  <si>
    <t>Elixir of Greater Intellect</t>
  </si>
  <si>
    <t>Elixir of the Sages</t>
  </si>
  <si>
    <t>Intellect + Spirit</t>
  </si>
  <si>
    <t>Elixir / Intellect + Spirit</t>
  </si>
  <si>
    <t>Intellect / Spirit option. Check buffs.</t>
  </si>
  <si>
    <t>Intellect/Spirit</t>
  </si>
  <si>
    <t>Elixir of Firepower</t>
  </si>
  <si>
    <t>Fire Damage</t>
  </si>
  <si>
    <t>Mage, Warlock, Shaman</t>
  </si>
  <si>
    <t>Elixir / Fire Damage</t>
  </si>
  <si>
    <t>Choose the school that matches your damage spells.</t>
  </si>
  <si>
    <t>Elixir of Greater Firepower</t>
  </si>
  <si>
    <t>Elixir of Frost Power</t>
  </si>
  <si>
    <t>Frost Damage</t>
  </si>
  <si>
    <t>Mage</t>
  </si>
  <si>
    <t>Elixir / Frost Damage</t>
  </si>
  <si>
    <t>Elixir of Shadow Power</t>
  </si>
  <si>
    <t>Shadow Damage</t>
  </si>
  <si>
    <t>Warlock, Priest</t>
  </si>
  <si>
    <t>Elixir / Shadow Damage</t>
  </si>
  <si>
    <t>Arcane Elixir</t>
  </si>
  <si>
    <t>Mage, Warlock, Priest, Druid, Shaman, Paladin</t>
  </si>
  <si>
    <t>Elixir / Spell Power</t>
  </si>
  <si>
    <t>Greater Arcane Elixir</t>
  </si>
  <si>
    <t>Elixir of the Mongoose</t>
  </si>
  <si>
    <t>Agility + Crit</t>
  </si>
  <si>
    <t>Rogue, Hunter, Warrior</t>
  </si>
  <si>
    <t>Elixir / Agility + Crit</t>
  </si>
  <si>
    <t>Premium alternative to Agility elixirs.</t>
  </si>
  <si>
    <t>Combat</t>
  </si>
  <si>
    <t>Gift of Arthas</t>
  </si>
  <si>
    <t>Disease Proc</t>
  </si>
  <si>
    <t>Elixir / Disease Proc</t>
  </si>
  <si>
    <t>Reactive Damage</t>
  </si>
  <si>
    <t>Elixir of Demonslaying</t>
  </si>
  <si>
    <t>Damage vs Demons</t>
  </si>
  <si>
    <t>Warrior, Paladin, Rogue, Hunter</t>
  </si>
  <si>
    <t>Elixir / Damage vs Demons</t>
  </si>
  <si>
    <t>Damage Bonus</t>
  </si>
  <si>
    <t>Elixir of Water Breathing</t>
  </si>
  <si>
    <t>Water Breathing</t>
  </si>
  <si>
    <t>Elixir / Water Breathing</t>
  </si>
  <si>
    <t>Elixir of Greater Water Breathing</t>
  </si>
  <si>
    <t>Elixir of Water Walking</t>
  </si>
  <si>
    <t>Water Walking</t>
  </si>
  <si>
    <t>Elixir / Water Walking</t>
  </si>
  <si>
    <t>Not available in vanilla Classic. Retained from original.</t>
  </si>
  <si>
    <t>https://us.forums.blizzard.com/en/wow/t/water-walk-potion/311919</t>
  </si>
  <si>
    <t>Elixir of Detect Lesser Invisibility</t>
  </si>
  <si>
    <t>See Invisibility</t>
  </si>
  <si>
    <t>Elixir / See Invisibility</t>
  </si>
  <si>
    <t>Detection</t>
  </si>
  <si>
    <t>Elixir of Detect Undead</t>
  </si>
  <si>
    <t>Detect Undead</t>
  </si>
  <si>
    <t>Elixir / Detect Undead</t>
  </si>
  <si>
    <t>Elixir of Detect Demon</t>
  </si>
  <si>
    <t>Detect Demons</t>
  </si>
  <si>
    <t>Elixir / Detect Demons</t>
  </si>
  <si>
    <t>Catseye Elixir</t>
  </si>
  <si>
    <t>Stealth Detection</t>
  </si>
  <si>
    <t>Elixir / Stealth Detection</t>
  </si>
  <si>
    <t>Noggenfogger Elixir</t>
  </si>
  <si>
    <t>Random Transform</t>
  </si>
  <si>
    <t>Elixir / Random Transform</t>
  </si>
  <si>
    <t>Elixir of Dream Vision</t>
  </si>
  <si>
    <t>Far Sight</t>
  </si>
  <si>
    <t>Elixir / Far Sight</t>
  </si>
  <si>
    <t>Spiced Wolf Meat</t>
  </si>
  <si>
    <t>+2 Stamina / Spirit · 15 min</t>
  </si>
  <si>
    <t>Food buff</t>
  </si>
  <si>
    <t>Food / Stamina / Spirit</t>
  </si>
  <si>
    <t>Basic leveling food.</t>
  </si>
  <si>
    <t>https://www.wowhead.com/classic/item=2680</t>
  </si>
  <si>
    <t>Crab Cake</t>
  </si>
  <si>
    <t>+4 Stamina / Spirit · 15 min</t>
  </si>
  <si>
    <t>Boiled Clams or Coyote Steak are equivalent buffs.</t>
  </si>
  <si>
    <t>https://www.wowhead.com/classic/item=2683</t>
  </si>
  <si>
    <t>Redridge Goulash</t>
  </si>
  <si>
    <t>+6 Stamina / Spirit · 15 min</t>
  </si>
  <si>
    <t>Early +6 option. Recipe availability varies.</t>
  </si>
  <si>
    <t>https://www.wowhead.com/classic/item=1082</t>
  </si>
  <si>
    <t>Big Bear Steak</t>
  </si>
  <si>
    <t>Alternative to Goulash. Curiously Tasty Omelet also works.</t>
  </si>
  <si>
    <t>https://www.wowhead.com/classic/item=3726</t>
  </si>
  <si>
    <t>Heavy Crocolisk Stew</t>
  </si>
  <si>
    <t>+8 Stamina / Spirit · 15 min</t>
  </si>
  <si>
    <t>Early +8 option. Use whichever equivalent food is available.</t>
  </si>
  <si>
    <t>https://www.wowhead.com/classic/item=20074</t>
  </si>
  <si>
    <t>Jungle Stew</t>
  </si>
  <si>
    <t>Roast Raptor or Hot Wolf Ribs offer the same buff.</t>
  </si>
  <si>
    <t>https://www.wowhead.com/classic/item=12212</t>
  </si>
  <si>
    <t>Spider Sausage</t>
  </si>
  <si>
    <t>+12 Stamina / Spirit · 15 min</t>
  </si>
  <si>
    <t>Everyday survival option. At 40, Monster Omelet also works.</t>
  </si>
  <si>
    <t>https://www.wowhead.com/classic/item=17222</t>
  </si>
  <si>
    <t>Smoked Sagefish</t>
  </si>
  <si>
    <t>3 mana / 5 sec · 15 min</t>
  </si>
  <si>
    <t>Druid, Hunter, Mage, Paladin, Priest, Shaman, Warlock</t>
  </si>
  <si>
    <t>Food / Mana regeneration</t>
  </si>
  <si>
    <t>Mana recovery alternative.</t>
  </si>
  <si>
    <t>https://www.wowhead.com/classic/item=21071</t>
  </si>
  <si>
    <t>Sagefish Delight</t>
  </si>
  <si>
    <t>6 mana / 5 sec · 15 min</t>
  </si>
  <si>
    <t>https://www.wowhead.com/classic/item=21217</t>
  </si>
  <si>
    <t>Nightfin Soup</t>
  </si>
  <si>
    <t>8 mana / 5 sec · 10 min</t>
  </si>
  <si>
    <t>https://www.wowhead.com/classic/item=13931</t>
  </si>
  <si>
    <t>Grilled Squid</t>
  </si>
  <si>
    <t>+10 Agility · 10 min</t>
  </si>
  <si>
    <t>Hunter, Rogue, Druid, Warrior</t>
  </si>
  <si>
    <t>Food / Agility</t>
  </si>
  <si>
    <t>Damage option for Agility users and physical builds.</t>
  </si>
  <si>
    <t>https://www.wowhead.com/classic/item=13928</t>
  </si>
  <si>
    <t>Runn Tum Tuber Surprise</t>
  </si>
  <si>
    <t>+10 Intellect · 10 min</t>
  </si>
  <si>
    <t>Food / Intellect</t>
  </si>
  <si>
    <t>Mana-pool alternative.</t>
  </si>
  <si>
    <t>https://www.wowhead.com/classic/item=18254</t>
  </si>
  <si>
    <t>Smoked Desert Dumplings</t>
  </si>
  <si>
    <t>+20 Strength · 15 min</t>
  </si>
  <si>
    <t>Food / Strength</t>
  </si>
  <si>
    <t>Strength-based melee builds.</t>
  </si>
  <si>
    <t>https://www.wowhead.com/classic/item=20452</t>
  </si>
  <si>
    <t>Dirge's Kickin' Chimaerok Chops</t>
  </si>
  <si>
    <t>+25 Stamina · 15 min</t>
  </si>
  <si>
    <t>Premium</t>
  </si>
  <si>
    <t>Food / Premium Stamina</t>
  </si>
  <si>
    <t>Premium survival option. Rare recipe and expensive ingredients.</t>
  </si>
  <si>
    <t>https://www.wowhead.com/classic/item=21023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</si>
</sst>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sz val="10.0"/>
      <color rgb="FF253345"/>
      <name val="Arial"/>
    </font>
    <font>
      <b/>
      <sz val="14.0"/>
      <color rgb="FF394B36"/>
      <name val="Arial"/>
    </font>
    <font>
      <sz val="10.0"/>
      <color rgb="FF5A6554"/>
      <name val="Arial"/>
    </font>
    <font>
      <b/>
      <sz val="10.0"/>
      <color rgb="FFFFFFFF"/>
      <name val="Arial"/>
    </font>
    <font>
      <b/>
      <sz val="10.0"/>
      <color rgb="FF394B36"/>
      <name val="Arial"/>
    </font>
    <font>
      <color theme="1"/>
      <name val="Carlito"/>
      <scheme val="minor"/>
    </font>
  </fonts>
  <fills count="8">
    <fill>
      <patternFill patternType="none"/>
    </fill>
    <fill>
      <patternFill patternType="lightGray"/>
    </fill>
    <fill>
      <patternFill patternType="solid">
        <fgColor rgb="FFFFF1C7"/>
        <bgColor rgb="FFFFF1C7"/>
      </patternFill>
    </fill>
    <fill>
      <patternFill patternType="solid">
        <fgColor rgb="FF6B3E36"/>
        <bgColor rgb="FF6B3E36"/>
      </patternFill>
    </fill>
    <fill>
      <patternFill patternType="solid">
        <fgColor rgb="FF394B36"/>
        <bgColor rgb="FF394B36"/>
      </patternFill>
    </fill>
    <fill>
      <patternFill patternType="solid">
        <fgColor rgb="FF685A30"/>
        <bgColor rgb="FF685A30"/>
      </patternFill>
    </fill>
    <fill>
      <patternFill patternType="solid">
        <fgColor rgb="FFE8ECE2"/>
        <bgColor rgb="FFE8ECE2"/>
      </patternFill>
    </fill>
    <fill>
      <patternFill patternType="solid">
        <fgColor rgb="FFF3F5EF"/>
        <bgColor rgb="FFF3F5EF"/>
      </patternFill>
    </fill>
  </fills>
  <borders count="1">
    <border/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0" fillId="2" fontId="1" numFmtId="0" xfId="0" applyAlignment="1" applyFill="1" applyFont="1">
      <alignment vertical="center"/>
    </xf>
    <xf borderId="0" fillId="2" fontId="1" numFmtId="0" xfId="0" applyAlignment="1" applyFill="1" applyFont="1">
      <alignment readingOrder="0" vertical="center"/>
    </xf>
    <xf borderId="0" fillId="0" fontId="3" numFmtId="0" xfId="0" applyAlignment="1" applyFont="1">
      <alignment vertical="center"/>
    </xf>
    <xf borderId="0" fillId="3" fontId="4" numFmtId="0" xfId="0" applyAlignment="1" applyFill="1" applyFont="1">
      <alignment vertical="center"/>
    </xf>
    <xf borderId="0" fillId="4" fontId="4" numFmtId="0" xfId="0" applyAlignment="1" applyFill="1" applyFont="1">
      <alignment vertical="center"/>
    </xf>
    <xf borderId="0" fillId="5" fontId="4" numFmtId="0" xfId="0" applyAlignment="1" applyFill="1" applyFont="1">
      <alignment vertical="center"/>
    </xf>
    <xf borderId="0" fillId="6" fontId="5" numFmtId="0" xfId="0" applyAlignment="1" applyFill="1" applyFont="1">
      <alignment vertical="center"/>
    </xf>
    <xf borderId="0" fillId="0" fontId="1" numFmtId="0" xfId="0" applyAlignment="1" applyFont="1">
      <alignment shrinkToFit="0" vertical="center" wrapText="1"/>
    </xf>
    <xf borderId="0" fillId="4" fontId="4" numFmtId="0" xfId="0" applyAlignment="1" applyFill="1" applyFont="1">
      <alignment horizontal="left" readingOrder="0" shrinkToFit="0" vertical="center" wrapText="0"/>
    </xf>
    <xf borderId="0" fillId="0" fontId="1" numFmtId="0" xfId="0" applyAlignment="1" applyFont="1">
      <alignment horizontal="center" shrinkToFit="0" vertical="center" wrapText="1"/>
    </xf>
    <xf borderId="0" fillId="7" fontId="1" numFmtId="0" xfId="0" applyAlignment="1" applyFill="1" applyFont="1">
      <alignment shrinkToFit="0" vertical="center" wrapText="1"/>
    </xf>
    <xf borderId="0" fillId="2" fontId="1" numFmtId="0" xfId="0" applyAlignment="1" applyFill="1" applyFont="1">
      <alignment shrinkToFit="0" vertical="center" wrapText="1"/>
    </xf>
    <xf borderId="0" fillId="7" fontId="1" numFmtId="0" xfId="0" applyAlignment="1" applyFill="1" applyFont="1">
      <alignment shrinkToFit="0" vertical="center" wrapText="0"/>
    </xf>
    <xf borderId="0" fillId="0" fontId="1" numFmtId="0" xfId="0" applyAlignment="1" applyFont="1">
      <alignment shrinkToFit="0" vertical="center" wrapText="1"/>
    </xf>
    <xf borderId="0" fillId="0" fontId="1" numFmtId="0" xfId="0" applyAlignment="1" applyFont="1">
      <alignment shrinkToFit="0" vertical="center" wrapText="0"/>
    </xf>
    <xf borderId="0" fillId="0" fontId="6" numFmtId="0" xfId="0" applyFont="1"/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rgb="FFF3F5EF"/>
          <bgColor rgb="FFF3F5EF"/>
        </patternFill>
      </fill>
      <border/>
    </dxf>
  </dxfs>
  <tableStyles count="1">
    <tableStyle count="4" pivot="0" name="Catalog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7:T101" displayName="ConsumableCatalog" name="ConsumableCatalog" id="1">
  <tableColumns count="20">
    <tableColumn name="Item" id="1"/>
    <tableColumn name="Section" id="2"/>
    <tableColumn name="Effect / duration" id="3"/>
    <tableColumn name="Min level" id="4"/>
    <tableColumn name="Classes" id="5"/>
    <tableColumn name="Category" id="6"/>
    <tableColumn name="Item family" id="7"/>
    <tableColumn name="Rank" id="8"/>
    <tableColumn name="Include" id="9"/>
    <tableColumn name="Notes / alternatives" id="10"/>
    <tableColumn name="Source" id="11"/>
    <tableColumn name="Eligible" id="12"/>
    <tableColumn name="Higher ranks" id="13"/>
    <tableColumn name="Show" id="14"/>
    <tableColumn name="Section order" id="15"/>
    <tableColumn name="Original effect" id="16"/>
    <tableColumn name="Original level" id="17"/>
    <tableColumn name="Original classes" id="18"/>
    <tableColumn name="Original category" id="19"/>
    <tableColumn name="Original type" id="20"/>
  </tableColumns>
  <tableStyleInfo name="Catalo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94B36"/>
    <pageSetUpPr/>
  </sheetPr>
  <sheetViews>
    <sheetView showGridLines="0" workbookViewId="0">
      <pane ySplit="8.0" topLeftCell="A9" activePane="bottomLeft" state="frozen"/>
      <selection activeCell="B10" sqref="B10" pane="bottomLeft"/>
    </sheetView>
  </sheetViews>
  <sheetFormatPr customHeight="1" defaultColWidth="12.63" defaultRowHeight="15.0"/>
  <cols>
    <col customWidth="1" min="1" max="1" width="19.25"/>
    <col customWidth="1" min="2" max="2" width="12.88"/>
    <col customWidth="1" min="3" max="3" width="6.0"/>
    <col customWidth="1" min="4" max="4" width="3.0"/>
    <col customWidth="1" min="5" max="5" width="17.38"/>
    <col customWidth="1" min="6" max="6" width="13.38"/>
    <col customWidth="1" min="7" max="7" width="6.0"/>
    <col customWidth="1" min="8" max="8" width="3.0"/>
    <col customWidth="1" min="9" max="9" width="14.0"/>
    <col customWidth="1" min="10" max="10" width="15.0"/>
    <col customWidth="1" min="11" max="11" width="6.0"/>
    <col customWidth="1" min="12" max="26" width="8.63"/>
  </cols>
  <sheetData>
    <row r="1" ht="4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ht="24.0" customHeight="1">
      <c r="A2" s="2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 ht="24.0" customHeight="1">
      <c r="A3" s="1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</row>
    <row r="4" ht="24.0" customHeight="1">
      <c r="A4" s="1" t="s">
        <v>2</v>
      </c>
      <c r="B4" s="3" t="s">
        <v>3</v>
      </c>
      <c r="C4" s="1"/>
      <c r="D4" s="1"/>
      <c r="E4" s="1" t="s">
        <v>4</v>
      </c>
      <c r="F4" s="4">
        <v>24.0</v>
      </c>
      <c r="G4" s="1"/>
      <c r="H4" s="1"/>
      <c r="I4" s="1"/>
      <c r="J4" s="1"/>
      <c r="K4" s="1"/>
    </row>
    <row r="5" ht="4.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ht="24.0" customHeight="1">
      <c r="A6" s="5" t="s">
        <v>5</v>
      </c>
      <c r="D6" s="1"/>
      <c r="E6" s="5" t="s">
        <v>6</v>
      </c>
      <c r="H6" s="1"/>
      <c r="I6" s="5" t="s">
        <v>7</v>
      </c>
    </row>
    <row r="7" ht="25.5" customHeight="1">
      <c r="A7" s="6" t="s">
        <v>8</v>
      </c>
      <c r="D7" s="1"/>
      <c r="E7" s="7" t="s">
        <v>9</v>
      </c>
      <c r="H7" s="1"/>
      <c r="I7" s="8" t="s">
        <v>10</v>
      </c>
    </row>
    <row r="8" ht="22.5" customHeight="1">
      <c r="A8" s="9" t="s">
        <v>11</v>
      </c>
      <c r="B8" s="9" t="s">
        <v>12</v>
      </c>
      <c r="C8" s="9" t="s">
        <v>13</v>
      </c>
      <c r="D8" s="1"/>
      <c r="E8" s="9" t="s">
        <v>11</v>
      </c>
      <c r="F8" s="9" t="s">
        <v>12</v>
      </c>
      <c r="G8" s="9" t="s">
        <v>13</v>
      </c>
      <c r="H8" s="1"/>
      <c r="I8" s="9" t="s">
        <v>11</v>
      </c>
      <c r="J8" s="9" t="s">
        <v>12</v>
      </c>
      <c r="K8" s="9" t="s">
        <v>13</v>
      </c>
    </row>
    <row r="9" ht="33.0" customHeight="1">
      <c r="A9" s="10" t="str">
        <f t="array" ref="A9">IF(ROW()-8&gt;COUNTIFS(Catalog!$B$8:$B$101,"Potions",Catalog!$N$8:$N$101,1),"",INDEX(Catalog!$A$8:$A$101,MATCH("Potions"&amp;(ROW()-8),Catalog!$O$8:$O$101,0)))</f>
        <v>Greater Healing Potion</v>
      </c>
      <c r="B9" s="10" t="str">
        <f t="array" ref="B9">IF(ROW()-8&gt;COUNTIFS(Catalog!$B$8:$B$101,"Potions",Catalog!$N$8:$N$101,1),"",INDEX(Catalog!$C$8:$C$101,MATCH("Potions"&amp;(ROW()-8),Catalog!$O$8:$O$101,0)))</f>
        <v>Health Restore</v>
      </c>
      <c r="C9" s="12">
        <f t="array" ref="C9">IF(ROW()-8&gt;COUNTIFS(Catalog!$B$8:$B$101,"Potions",Catalog!$N$8:$N$101,1),"",INDEX(Catalog!$D$8:$D$101,MATCH("Potions"&amp;(ROW()-8),Catalog!$O$8:$O$101,0)))</f>
        <v>21</v>
      </c>
      <c r="D9" s="1"/>
      <c r="E9" s="10" t="str">
        <f t="array" ref="E9">IF(ROW()-8&gt;COUNTIFS(Catalog!$B$8:$B$101,"Elixirs",Catalog!$N$8:$N$101,1),"",INDEX(Catalog!$A$8:$A$101,MATCH("Elixirs"&amp;(ROW()-8),Catalog!$O$8:$O$101,0)))</f>
        <v>Elixir of Defense</v>
      </c>
      <c r="F9" s="10" t="str">
        <f t="array" ref="F9">IF(ROW()-8&gt;COUNTIFS(Catalog!$B$8:$B$101,"Elixirs",Catalog!$N$8:$N$101,1),"",INDEX(Catalog!$C$8:$C$101,MATCH("Elixirs"&amp;(ROW()-8),Catalog!$O$8:$O$101,0)))</f>
        <v>Armor</v>
      </c>
      <c r="G9" s="12">
        <f t="array" ref="G9">IF(ROW()-8&gt;COUNTIFS(Catalog!$B$8:$B$101,"Elixirs",Catalog!$N$8:$N$101,1),"",INDEX(Catalog!$D$8:$D$101,MATCH("Elixirs"&amp;(ROW()-8),Catalog!$O$8:$O$101,0)))</f>
        <v>16</v>
      </c>
      <c r="H9" s="1"/>
      <c r="I9" s="10" t="str">
        <f t="array" ref="I9">IF(ROW()-8&gt;COUNTIFS(Catalog!$B$8:$B$101,"Food",Catalog!$N$8:$N$101,1),"",INDEX(Catalog!$A$8:$A$101,MATCH("Food"&amp;(ROW()-8),Catalog!$O$8:$O$101,0)))</f>
        <v>Heavy Crocolisk Stew</v>
      </c>
      <c r="J9" s="10" t="str">
        <f t="array" ref="J9">IF(ROW()-8&gt;COUNTIFS(Catalog!$B$8:$B$101,"Food",Catalog!$N$8:$N$101,1),"",INDEX(Catalog!$C$8:$C$101,MATCH("Food"&amp;(ROW()-8),Catalog!$O$8:$O$101,0)))</f>
        <v>+8 Stamina / Spirit · 15 min</v>
      </c>
      <c r="K9" s="12">
        <f t="array" ref="K9">IF(ROW()-8&gt;COUNTIFS(Catalog!$B$8:$B$101,"Food",Catalog!$N$8:$N$101,1),"",INDEX(Catalog!$D$8:$D$101,MATCH("Food"&amp;(ROW()-8),Catalog!$O$8:$O$101,0)))</f>
        <v>20</v>
      </c>
    </row>
    <row r="10" ht="33.0" customHeight="1">
      <c r="A10" s="10" t="str">
        <f t="array" ref="A10">IF(ROW()-8&gt;COUNTIFS(Catalog!$B$8:$B$101,"Potions",Catalog!$N$8:$N$101,1),"",INDEX(Catalog!$A$8:$A$101,MATCH("Potions"&amp;(ROW()-8),Catalog!$O$8:$O$101,0)))</f>
        <v>Mana Potion</v>
      </c>
      <c r="B10" s="10" t="str">
        <f t="array" ref="B10">IF(ROW()-8&gt;COUNTIFS(Catalog!$B$8:$B$101,"Potions",Catalog!$N$8:$N$101,1),"",INDEX(Catalog!$C$8:$C$101,MATCH("Potions"&amp;(ROW()-8),Catalog!$O$8:$O$101,0)))</f>
        <v>Mana Restore</v>
      </c>
      <c r="C10" s="12">
        <f t="array" ref="C10">IF(ROW()-8&gt;COUNTIFS(Catalog!$B$8:$B$101,"Potions",Catalog!$N$8:$N$101,1),"",INDEX(Catalog!$D$8:$D$101,MATCH("Potions"&amp;(ROW()-8),Catalog!$O$8:$O$101,0)))</f>
        <v>22</v>
      </c>
      <c r="D10" s="1"/>
      <c r="E10" s="10" t="str">
        <f t="array" ref="E10">IF(ROW()-8&gt;COUNTIFS(Catalog!$B$8:$B$101,"Elixirs",Catalog!$N$8:$N$101,1),"",INDEX(Catalog!$A$8:$A$101,MATCH("Elixirs"&amp;(ROW()-8),Catalog!$O$8:$O$101,0)))</f>
        <v>Elixir of Minor Fortitude</v>
      </c>
      <c r="F10" s="10" t="str">
        <f t="array" ref="F10">IF(ROW()-8&gt;COUNTIFS(Catalog!$B$8:$B$101,"Elixirs",Catalog!$N$8:$N$101,1),"",INDEX(Catalog!$C$8:$C$101,MATCH("Elixirs"&amp;(ROW()-8),Catalog!$O$8:$O$101,0)))</f>
        <v>Maximum health</v>
      </c>
      <c r="G10" s="12">
        <f t="array" ref="G10">IF(ROW()-8&gt;COUNTIFS(Catalog!$B$8:$B$101,"Elixirs",Catalog!$N$8:$N$101,1),"",INDEX(Catalog!$D$8:$D$101,MATCH("Elixirs"&amp;(ROW()-8),Catalog!$O$8:$O$101,0)))</f>
        <v>2</v>
      </c>
      <c r="H10" s="1"/>
      <c r="I10" s="10" t="str">
        <f t="array" ref="I10">IF(ROW()-8&gt;COUNTIFS(Catalog!$B$8:$B$101,"Food",Catalog!$N$8:$N$101,1),"",INDEX(Catalog!$A$8:$A$101,MATCH("Food"&amp;(ROW()-8),Catalog!$O$8:$O$101,0)))</f>
        <v>Smoked Sagefish</v>
      </c>
      <c r="J10" s="10" t="str">
        <f t="array" ref="J10">IF(ROW()-8&gt;COUNTIFS(Catalog!$B$8:$B$101,"Food",Catalog!$N$8:$N$101,1),"",INDEX(Catalog!$C$8:$C$101,MATCH("Food"&amp;(ROW()-8),Catalog!$O$8:$O$101,0)))</f>
        <v>3 mana / 5 sec · 15 min</v>
      </c>
      <c r="K10" s="12">
        <f t="array" ref="K10">IF(ROW()-8&gt;COUNTIFS(Catalog!$B$8:$B$101,"Food",Catalog!$N$8:$N$101,1),"",INDEX(Catalog!$D$8:$D$101,MATCH("Food"&amp;(ROW()-8),Catalog!$O$8:$O$101,0)))</f>
        <v>10</v>
      </c>
    </row>
    <row r="11" ht="33.0" customHeight="1">
      <c r="A11" s="10" t="str">
        <f t="array" ref="A11">IF(ROW()-8&gt;COUNTIFS(Catalog!$B$8:$B$101,"Potions",Catalog!$N$8:$N$101,1),"",INDEX(Catalog!$A$8:$A$101,MATCH("Potions"&amp;(ROW()-8),Catalog!$O$8:$O$101,0)))</f>
        <v>Swiftness Potion</v>
      </c>
      <c r="B11" s="10" t="str">
        <f t="array" ref="B11">IF(ROW()-8&gt;COUNTIFS(Catalog!$B$8:$B$101,"Potions",Catalog!$N$8:$N$101,1),"",INDEX(Catalog!$C$8:$C$101,MATCH("Potions"&amp;(ROW()-8),Catalog!$O$8:$O$101,0)))</f>
        <v>Run Speed</v>
      </c>
      <c r="C11" s="12">
        <f t="array" ref="C11">IF(ROW()-8&gt;COUNTIFS(Catalog!$B$8:$B$101,"Potions",Catalog!$N$8:$N$101,1),"",INDEX(Catalog!$D$8:$D$101,MATCH("Potions"&amp;(ROW()-8),Catalog!$O$8:$O$101,0)))</f>
        <v>5</v>
      </c>
      <c r="D11" s="1"/>
      <c r="E11" s="10" t="str">
        <f t="array" ref="E11">IF(ROW()-8&gt;COUNTIFS(Catalog!$B$8:$B$101,"Elixirs",Catalog!$N$8:$N$101,1),"",INDEX(Catalog!$A$8:$A$101,MATCH("Elixirs"&amp;(ROW()-8),Catalog!$O$8:$O$101,0)))</f>
        <v>Elixir of Lesser Agility</v>
      </c>
      <c r="F11" s="10" t="str">
        <f t="array" ref="F11">IF(ROW()-8&gt;COUNTIFS(Catalog!$B$8:$B$101,"Elixirs",Catalog!$N$8:$N$101,1),"",INDEX(Catalog!$C$8:$C$101,MATCH("Elixirs"&amp;(ROW()-8),Catalog!$O$8:$O$101,0)))</f>
        <v>Agility</v>
      </c>
      <c r="G11" s="12">
        <f t="array" ref="G11">IF(ROW()-8&gt;COUNTIFS(Catalog!$B$8:$B$101,"Elixirs",Catalog!$N$8:$N$101,1),"",INDEX(Catalog!$D$8:$D$101,MATCH("Elixirs"&amp;(ROW()-8),Catalog!$O$8:$O$101,0)))</f>
        <v>18</v>
      </c>
      <c r="H11" s="1"/>
      <c r="I11" s="10" t="str">
        <f t="array" ref="I11">IF(ROW()-8&gt;COUNTIFS(Catalog!$B$8:$B$101,"Food",Catalog!$N$8:$N$101,1),"",INDEX(Catalog!$A$8:$A$101,MATCH("Food"&amp;(ROW()-8),Catalog!$O$8:$O$101,0)))</f>
        <v/>
      </c>
      <c r="J11" s="10" t="str">
        <f t="array" ref="J11">IF(ROW()-8&gt;COUNTIFS(Catalog!$B$8:$B$101,"Food",Catalog!$N$8:$N$101,1),"",INDEX(Catalog!$C$8:$C$101,MATCH("Food"&amp;(ROW()-8),Catalog!$O$8:$O$101,0)))</f>
        <v/>
      </c>
      <c r="K11" s="12" t="str">
        <f t="array" ref="K11">IF(ROW()-8&gt;COUNTIFS(Catalog!$B$8:$B$101,"Food",Catalog!$N$8:$N$101,1),"",INDEX(Catalog!$D$8:$D$101,MATCH("Food"&amp;(ROW()-8),Catalog!$O$8:$O$101,0)))</f>
        <v/>
      </c>
    </row>
    <row r="12" ht="33.0" customHeight="1">
      <c r="A12" s="10" t="str">
        <f t="array" ref="A12">IF(ROW()-8&gt;COUNTIFS(Catalog!$B$8:$B$101,"Potions",Catalog!$N$8:$N$101,1),"",INDEX(Catalog!$A$8:$A$101,MATCH("Potions"&amp;(ROW()-8),Catalog!$O$8:$O$101,0)))</f>
        <v>Free Action Potion</v>
      </c>
      <c r="B12" s="10" t="str">
        <f t="array" ref="B12">IF(ROW()-8&gt;COUNTIFS(Catalog!$B$8:$B$101,"Potions",Catalog!$N$8:$N$101,1),"",INDEX(Catalog!$C$8:$C$101,MATCH("Potions"&amp;(ROW()-8),Catalog!$O$8:$O$101,0)))</f>
        <v>Stun/Slow Immunity</v>
      </c>
      <c r="C12" s="12">
        <f t="array" ref="C12">IF(ROW()-8&gt;COUNTIFS(Catalog!$B$8:$B$101,"Potions",Catalog!$N$8:$N$101,1),"",INDEX(Catalog!$D$8:$D$101,MATCH("Potions"&amp;(ROW()-8),Catalog!$O$8:$O$101,0)))</f>
        <v>20</v>
      </c>
      <c r="D12" s="1"/>
      <c r="E12" s="10" t="str">
        <f t="array" ref="E12">IF(ROW()-8&gt;COUNTIFS(Catalog!$B$8:$B$101,"Elixirs",Catalog!$N$8:$N$101,1),"",INDEX(Catalog!$A$8:$A$101,MATCH("Elixirs"&amp;(ROW()-8),Catalog!$O$8:$O$101,0)))</f>
        <v>Elixir of Wisdom</v>
      </c>
      <c r="F12" s="10" t="str">
        <f t="array" ref="F12">IF(ROW()-8&gt;COUNTIFS(Catalog!$B$8:$B$101,"Elixirs",Catalog!$N$8:$N$101,1),"",INDEX(Catalog!$C$8:$C$101,MATCH("Elixirs"&amp;(ROW()-8),Catalog!$O$8:$O$101,0)))</f>
        <v>Intellect</v>
      </c>
      <c r="G12" s="12">
        <f t="array" ref="G12">IF(ROW()-8&gt;COUNTIFS(Catalog!$B$8:$B$101,"Elixirs",Catalog!$N$8:$N$101,1),"",INDEX(Catalog!$D$8:$D$101,MATCH("Elixirs"&amp;(ROW()-8),Catalog!$O$8:$O$101,0)))</f>
        <v>10</v>
      </c>
      <c r="H12" s="1"/>
      <c r="I12" s="10" t="str">
        <f t="array" ref="I12">IF(ROW()-8&gt;COUNTIFS(Catalog!$B$8:$B$101,"Food",Catalog!$N$8:$N$101,1),"",INDEX(Catalog!$A$8:$A$101,MATCH("Food"&amp;(ROW()-8),Catalog!$O$8:$O$101,0)))</f>
        <v/>
      </c>
      <c r="J12" s="10" t="str">
        <f t="array" ref="J12">IF(ROW()-8&gt;COUNTIFS(Catalog!$B$8:$B$101,"Food",Catalog!$N$8:$N$101,1),"",INDEX(Catalog!$C$8:$C$101,MATCH("Food"&amp;(ROW()-8),Catalog!$O$8:$O$101,0)))</f>
        <v/>
      </c>
      <c r="K12" s="12" t="str">
        <f t="array" ref="K12">IF(ROW()-8&gt;COUNTIFS(Catalog!$B$8:$B$101,"Food",Catalog!$N$8:$N$101,1),"",INDEX(Catalog!$D$8:$D$101,MATCH("Food"&amp;(ROW()-8),Catalog!$O$8:$O$101,0)))</f>
        <v/>
      </c>
    </row>
    <row r="13" ht="33.0" customHeight="1">
      <c r="A13" s="10" t="str">
        <f t="array" ref="A13">IF(ROW()-8&gt;COUNTIFS(Catalog!$B$8:$B$101,"Potions",Catalog!$N$8:$N$101,1),"",INDEX(Catalog!$A$8:$A$101,MATCH("Potions"&amp;(ROW()-8),Catalog!$O$8:$O$101,0)))</f>
        <v>Swim Speed Potion</v>
      </c>
      <c r="B13" s="10" t="str">
        <f t="array" ref="B13">IF(ROW()-8&gt;COUNTIFS(Catalog!$B$8:$B$101,"Potions",Catalog!$N$8:$N$101,1),"",INDEX(Catalog!$C$8:$C$101,MATCH("Potions"&amp;(ROW()-8),Catalog!$O$8:$O$101,0)))</f>
        <v>Swim Speed</v>
      </c>
      <c r="C13" s="12">
        <f t="array" ref="C13">IF(ROW()-8&gt;COUNTIFS(Catalog!$B$8:$B$101,"Potions",Catalog!$N$8:$N$101,1),"",INDEX(Catalog!$D$8:$D$101,MATCH("Potions"&amp;(ROW()-8),Catalog!$O$8:$O$101,0)))</f>
        <v>10</v>
      </c>
      <c r="D13" s="1"/>
      <c r="E13" s="10" t="str">
        <f t="array" ref="E13">IF(ROW()-8&gt;COUNTIFS(Catalog!$B$8:$B$101,"Elixirs",Catalog!$N$8:$N$101,1),"",INDEX(Catalog!$A$8:$A$101,MATCH("Elixirs"&amp;(ROW()-8),Catalog!$O$8:$O$101,0)))</f>
        <v>Elixir of Water Breathing</v>
      </c>
      <c r="F13" s="10" t="str">
        <f t="array" ref="F13">IF(ROW()-8&gt;COUNTIFS(Catalog!$B$8:$B$101,"Elixirs",Catalog!$N$8:$N$101,1),"",INDEX(Catalog!$C$8:$C$101,MATCH("Elixirs"&amp;(ROW()-8),Catalog!$O$8:$O$101,0)))</f>
        <v>Water Breathing</v>
      </c>
      <c r="G13" s="12">
        <f t="array" ref="G13">IF(ROW()-8&gt;COUNTIFS(Catalog!$B$8:$B$101,"Elixirs",Catalog!$N$8:$N$101,1),"",INDEX(Catalog!$D$8:$D$101,MATCH("Elixirs"&amp;(ROW()-8),Catalog!$O$8:$O$101,0)))</f>
        <v>8</v>
      </c>
      <c r="H13" s="1"/>
      <c r="I13" s="10" t="str">
        <f t="array" ref="I13">IF(ROW()-8&gt;COUNTIFS(Catalog!$B$8:$B$101,"Food",Catalog!$N$8:$N$101,1),"",INDEX(Catalog!$A$8:$A$101,MATCH("Food"&amp;(ROW()-8),Catalog!$O$8:$O$101,0)))</f>
        <v/>
      </c>
      <c r="J13" s="10" t="str">
        <f t="array" ref="J13">IF(ROW()-8&gt;COUNTIFS(Catalog!$B$8:$B$101,"Food",Catalog!$N$8:$N$101,1),"",INDEX(Catalog!$C$8:$C$101,MATCH("Food"&amp;(ROW()-8),Catalog!$O$8:$O$101,0)))</f>
        <v/>
      </c>
      <c r="K13" s="12" t="str">
        <f t="array" ref="K13">IF(ROW()-8&gt;COUNTIFS(Catalog!$B$8:$B$101,"Food",Catalog!$N$8:$N$101,1),"",INDEX(Catalog!$D$8:$D$101,MATCH("Food"&amp;(ROW()-8),Catalog!$O$8:$O$101,0)))</f>
        <v/>
      </c>
    </row>
    <row r="14" ht="33.0" customHeight="1">
      <c r="A14" s="10" t="str">
        <f t="array" ref="A14">IF(ROW()-8&gt;COUNTIFS(Catalog!$B$8:$B$101,"Potions",Catalog!$N$8:$N$101,1),"",INDEX(Catalog!$A$8:$A$101,MATCH("Potions"&amp;(ROW()-8),Catalog!$O$8:$O$101,0)))</f>
        <v>Lesser Invisibility Potion</v>
      </c>
      <c r="B14" s="10" t="str">
        <f t="array" ref="B14">IF(ROW()-8&gt;COUNTIFS(Catalog!$B$8:$B$101,"Potions",Catalog!$N$8:$N$101,1),"",INDEX(Catalog!$C$8:$C$101,MATCH("Potions"&amp;(ROW()-8),Catalog!$O$8:$O$101,0)))</f>
        <v>Invisibility</v>
      </c>
      <c r="C14" s="12">
        <f t="array" ref="C14">IF(ROW()-8&gt;COUNTIFS(Catalog!$B$8:$B$101,"Potions",Catalog!$N$8:$N$101,1),"",INDEX(Catalog!$D$8:$D$101,MATCH("Potions"&amp;(ROW()-8),Catalog!$O$8:$O$101,0)))</f>
        <v>23</v>
      </c>
      <c r="D14" s="1"/>
      <c r="E14" s="10" t="str">
        <f t="array" ref="E14">IF(ROW()-8&gt;COUNTIFS(Catalog!$B$8:$B$101,"Elixirs",Catalog!$N$8:$N$101,1),"",INDEX(Catalog!$A$8:$A$101,MATCH("Elixirs"&amp;(ROW()-8),Catalog!$O$8:$O$101,0)))</f>
        <v/>
      </c>
      <c r="F14" s="10" t="str">
        <f t="array" ref="F14">IF(ROW()-8&gt;COUNTIFS(Catalog!$B$8:$B$101,"Elixirs",Catalog!$N$8:$N$101,1),"",INDEX(Catalog!$C$8:$C$101,MATCH("Elixirs"&amp;(ROW()-8),Catalog!$O$8:$O$101,0)))</f>
        <v/>
      </c>
      <c r="G14" s="12" t="str">
        <f t="array" ref="G14">IF(ROW()-8&gt;COUNTIFS(Catalog!$B$8:$B$101,"Elixirs",Catalog!$N$8:$N$101,1),"",INDEX(Catalog!$D$8:$D$101,MATCH("Elixirs"&amp;(ROW()-8),Catalog!$O$8:$O$101,0)))</f>
        <v/>
      </c>
      <c r="H14" s="1"/>
      <c r="I14" s="10" t="str">
        <f t="array" ref="I14">IF(ROW()-8&gt;COUNTIFS(Catalog!$B$8:$B$101,"Food",Catalog!$N$8:$N$101,1),"",INDEX(Catalog!$A$8:$A$101,MATCH("Food"&amp;(ROW()-8),Catalog!$O$8:$O$101,0)))</f>
        <v/>
      </c>
      <c r="J14" s="10" t="str">
        <f t="array" ref="J14">IF(ROW()-8&gt;COUNTIFS(Catalog!$B$8:$B$101,"Food",Catalog!$N$8:$N$101,1),"",INDEX(Catalog!$C$8:$C$101,MATCH("Food"&amp;(ROW()-8),Catalog!$O$8:$O$101,0)))</f>
        <v/>
      </c>
      <c r="K14" s="12" t="str">
        <f t="array" ref="K14">IF(ROW()-8&gt;COUNTIFS(Catalog!$B$8:$B$101,"Food",Catalog!$N$8:$N$101,1),"",INDEX(Catalog!$D$8:$D$101,MATCH("Food"&amp;(ROW()-8),Catalog!$O$8:$O$101,0)))</f>
        <v/>
      </c>
    </row>
    <row r="15" ht="33.0" customHeight="1">
      <c r="A15" s="10" t="str">
        <f t="array" ref="A15">IF(ROW()-8&gt;COUNTIFS(Catalog!$B$8:$B$101,"Potions",Catalog!$N$8:$N$101,1),"",INDEX(Catalog!$A$8:$A$101,MATCH("Potions"&amp;(ROW()-8),Catalog!$O$8:$O$101,0)))</f>
        <v>Strong Troll's Blood Potion</v>
      </c>
      <c r="B15" s="10" t="str">
        <f t="array" ref="B15">IF(ROW()-8&gt;COUNTIFS(Catalog!$B$8:$B$101,"Potions",Catalog!$N$8:$N$101,1),"",INDEX(Catalog!$C$8:$C$101,MATCH("Potions"&amp;(ROW()-8),Catalog!$O$8:$O$101,0)))</f>
        <v>Health Regen</v>
      </c>
      <c r="C15" s="12">
        <f t="array" ref="C15">IF(ROW()-8&gt;COUNTIFS(Catalog!$B$8:$B$101,"Potions",Catalog!$N$8:$N$101,1),"",INDEX(Catalog!$D$8:$D$101,MATCH("Potions"&amp;(ROW()-8),Catalog!$O$8:$O$101,0)))</f>
        <v>15</v>
      </c>
      <c r="D15" s="1"/>
      <c r="E15" s="10" t="str">
        <f t="array" ref="E15">IF(ROW()-8&gt;COUNTIFS(Catalog!$B$8:$B$101,"Elixirs",Catalog!$N$8:$N$101,1),"",INDEX(Catalog!$A$8:$A$101,MATCH("Elixirs"&amp;(ROW()-8),Catalog!$O$8:$O$101,0)))</f>
        <v/>
      </c>
      <c r="F15" s="10" t="str">
        <f t="array" ref="F15">IF(ROW()-8&gt;COUNTIFS(Catalog!$B$8:$B$101,"Elixirs",Catalog!$N$8:$N$101,1),"",INDEX(Catalog!$C$8:$C$101,MATCH("Elixirs"&amp;(ROW()-8),Catalog!$O$8:$O$101,0)))</f>
        <v/>
      </c>
      <c r="G15" s="12" t="str">
        <f t="array" ref="G15">IF(ROW()-8&gt;COUNTIFS(Catalog!$B$8:$B$101,"Elixirs",Catalog!$N$8:$N$101,1),"",INDEX(Catalog!$D$8:$D$101,MATCH("Elixirs"&amp;(ROW()-8),Catalog!$O$8:$O$101,0)))</f>
        <v/>
      </c>
      <c r="H15" s="1"/>
      <c r="I15" s="10" t="str">
        <f t="array" ref="I15">IF(ROW()-8&gt;COUNTIFS(Catalog!$B$8:$B$101,"Food",Catalog!$N$8:$N$101,1),"",INDEX(Catalog!$A$8:$A$101,MATCH("Food"&amp;(ROW()-8),Catalog!$O$8:$O$101,0)))</f>
        <v/>
      </c>
      <c r="J15" s="10" t="str">
        <f t="array" ref="J15">IF(ROW()-8&gt;COUNTIFS(Catalog!$B$8:$B$101,"Food",Catalog!$N$8:$N$101,1),"",INDEX(Catalog!$C$8:$C$101,MATCH("Food"&amp;(ROW()-8),Catalog!$O$8:$O$101,0)))</f>
        <v/>
      </c>
      <c r="K15" s="12" t="str">
        <f t="array" ref="K15">IF(ROW()-8&gt;COUNTIFS(Catalog!$B$8:$B$101,"Food",Catalog!$N$8:$N$101,1),"",INDEX(Catalog!$D$8:$D$101,MATCH("Food"&amp;(ROW()-8),Catalog!$O$8:$O$101,0)))</f>
        <v/>
      </c>
    </row>
    <row r="16" ht="33.0" customHeight="1">
      <c r="A16" s="10" t="str">
        <f t="array" ref="A16">IF(ROW()-8&gt;COUNTIFS(Catalog!$B$8:$B$101,"Potions",Catalog!$N$8:$N$101,1),"",INDEX(Catalog!$A$8:$A$101,MATCH("Potions"&amp;(ROW()-8),Catalog!$O$8:$O$101,0)))</f>
        <v/>
      </c>
      <c r="B16" s="10" t="str">
        <f t="array" ref="B16">IF(ROW()-8&gt;COUNTIFS(Catalog!$B$8:$B$101,"Potions",Catalog!$N$8:$N$101,1),"",INDEX(Catalog!$C$8:$C$101,MATCH("Potions"&amp;(ROW()-8),Catalog!$O$8:$O$101,0)))</f>
        <v/>
      </c>
      <c r="C16" s="12" t="str">
        <f t="array" ref="C16">IF(ROW()-8&gt;COUNTIFS(Catalog!$B$8:$B$101,"Potions",Catalog!$N$8:$N$101,1),"",INDEX(Catalog!$D$8:$D$101,MATCH("Potions"&amp;(ROW()-8),Catalog!$O$8:$O$101,0)))</f>
        <v/>
      </c>
      <c r="D16" s="1"/>
      <c r="E16" s="10" t="str">
        <f t="array" ref="E16">IF(ROW()-8&gt;COUNTIFS(Catalog!$B$8:$B$101,"Elixirs",Catalog!$N$8:$N$101,1),"",INDEX(Catalog!$A$8:$A$101,MATCH("Elixirs"&amp;(ROW()-8),Catalog!$O$8:$O$101,0)))</f>
        <v/>
      </c>
      <c r="F16" s="10" t="str">
        <f t="array" ref="F16">IF(ROW()-8&gt;COUNTIFS(Catalog!$B$8:$B$101,"Elixirs",Catalog!$N$8:$N$101,1),"",INDEX(Catalog!$C$8:$C$101,MATCH("Elixirs"&amp;(ROW()-8),Catalog!$O$8:$O$101,0)))</f>
        <v/>
      </c>
      <c r="G16" s="12" t="str">
        <f t="array" ref="G16">IF(ROW()-8&gt;COUNTIFS(Catalog!$B$8:$B$101,"Elixirs",Catalog!$N$8:$N$101,1),"",INDEX(Catalog!$D$8:$D$101,MATCH("Elixirs"&amp;(ROW()-8),Catalog!$O$8:$O$101,0)))</f>
        <v/>
      </c>
      <c r="H16" s="1"/>
      <c r="I16" s="10" t="str">
        <f t="array" ref="I16">IF(ROW()-8&gt;COUNTIFS(Catalog!$B$8:$B$101,"Food",Catalog!$N$8:$N$101,1),"",INDEX(Catalog!$A$8:$A$101,MATCH("Food"&amp;(ROW()-8),Catalog!$O$8:$O$101,0)))</f>
        <v/>
      </c>
      <c r="J16" s="10" t="str">
        <f t="array" ref="J16">IF(ROW()-8&gt;COUNTIFS(Catalog!$B$8:$B$101,"Food",Catalog!$N$8:$N$101,1),"",INDEX(Catalog!$C$8:$C$101,MATCH("Food"&amp;(ROW()-8),Catalog!$O$8:$O$101,0)))</f>
        <v/>
      </c>
      <c r="K16" s="12" t="str">
        <f t="array" ref="K16">IF(ROW()-8&gt;COUNTIFS(Catalog!$B$8:$B$101,"Food",Catalog!$N$8:$N$101,1),"",INDEX(Catalog!$D$8:$D$101,MATCH("Food"&amp;(ROW()-8),Catalog!$O$8:$O$101,0)))</f>
        <v/>
      </c>
    </row>
    <row r="17" ht="33.0" customHeight="1">
      <c r="A17" s="10" t="str">
        <f t="array" ref="A17">IF(ROW()-8&gt;COUNTIFS(Catalog!$B$8:$B$101,"Potions",Catalog!$N$8:$N$101,1),"",INDEX(Catalog!$A$8:$A$101,MATCH("Potions"&amp;(ROW()-8),Catalog!$O$8:$O$101,0)))</f>
        <v/>
      </c>
      <c r="B17" s="10" t="str">
        <f t="array" ref="B17">IF(ROW()-8&gt;COUNTIFS(Catalog!$B$8:$B$101,"Potions",Catalog!$N$8:$N$101,1),"",INDEX(Catalog!$C$8:$C$101,MATCH("Potions"&amp;(ROW()-8),Catalog!$O$8:$O$101,0)))</f>
        <v/>
      </c>
      <c r="C17" s="12" t="str">
        <f t="array" ref="C17">IF(ROW()-8&gt;COUNTIFS(Catalog!$B$8:$B$101,"Potions",Catalog!$N$8:$N$101,1),"",INDEX(Catalog!$D$8:$D$101,MATCH("Potions"&amp;(ROW()-8),Catalog!$O$8:$O$101,0)))</f>
        <v/>
      </c>
      <c r="D17" s="1"/>
      <c r="E17" s="10" t="str">
        <f t="array" ref="E17">IF(ROW()-8&gt;COUNTIFS(Catalog!$B$8:$B$101,"Elixirs",Catalog!$N$8:$N$101,1),"",INDEX(Catalog!$A$8:$A$101,MATCH("Elixirs"&amp;(ROW()-8),Catalog!$O$8:$O$101,0)))</f>
        <v/>
      </c>
      <c r="F17" s="10" t="str">
        <f t="array" ref="F17">IF(ROW()-8&gt;COUNTIFS(Catalog!$B$8:$B$101,"Elixirs",Catalog!$N$8:$N$101,1),"",INDEX(Catalog!$C$8:$C$101,MATCH("Elixirs"&amp;(ROW()-8),Catalog!$O$8:$O$101,0)))</f>
        <v/>
      </c>
      <c r="G17" s="12" t="str">
        <f t="array" ref="G17">IF(ROW()-8&gt;COUNTIFS(Catalog!$B$8:$B$101,"Elixirs",Catalog!$N$8:$N$101,1),"",INDEX(Catalog!$D$8:$D$101,MATCH("Elixirs"&amp;(ROW()-8),Catalog!$O$8:$O$101,0)))</f>
        <v/>
      </c>
      <c r="H17" s="1"/>
      <c r="I17" s="10" t="str">
        <f t="array" ref="I17">IF(ROW()-8&gt;COUNTIFS(Catalog!$B$8:$B$101,"Food",Catalog!$N$8:$N$101,1),"",INDEX(Catalog!$A$8:$A$101,MATCH("Food"&amp;(ROW()-8),Catalog!$O$8:$O$101,0)))</f>
        <v/>
      </c>
      <c r="J17" s="10" t="str">
        <f t="array" ref="J17">IF(ROW()-8&gt;COUNTIFS(Catalog!$B$8:$B$101,"Food",Catalog!$N$8:$N$101,1),"",INDEX(Catalog!$C$8:$C$101,MATCH("Food"&amp;(ROW()-8),Catalog!$O$8:$O$101,0)))</f>
        <v/>
      </c>
      <c r="K17" s="12" t="str">
        <f t="array" ref="K17">IF(ROW()-8&gt;COUNTIFS(Catalog!$B$8:$B$101,"Food",Catalog!$N$8:$N$101,1),"",INDEX(Catalog!$D$8:$D$101,MATCH("Food"&amp;(ROW()-8),Catalog!$O$8:$O$101,0)))</f>
        <v/>
      </c>
    </row>
    <row r="18" ht="33.0" customHeight="1">
      <c r="A18" s="10" t="str">
        <f t="array" ref="A18">IF(ROW()-8&gt;COUNTIFS(Catalog!$B$8:$B$101,"Potions",Catalog!$N$8:$N$101,1),"",INDEX(Catalog!$A$8:$A$101,MATCH("Potions"&amp;(ROW()-8),Catalog!$O$8:$O$101,0)))</f>
        <v/>
      </c>
      <c r="B18" s="10" t="str">
        <f t="array" ref="B18">IF(ROW()-8&gt;COUNTIFS(Catalog!$B$8:$B$101,"Potions",Catalog!$N$8:$N$101,1),"",INDEX(Catalog!$C$8:$C$101,MATCH("Potions"&amp;(ROW()-8),Catalog!$O$8:$O$101,0)))</f>
        <v/>
      </c>
      <c r="C18" s="12" t="str">
        <f t="array" ref="C18">IF(ROW()-8&gt;COUNTIFS(Catalog!$B$8:$B$101,"Potions",Catalog!$N$8:$N$101,1),"",INDEX(Catalog!$D$8:$D$101,MATCH("Potions"&amp;(ROW()-8),Catalog!$O$8:$O$101,0)))</f>
        <v/>
      </c>
      <c r="D18" s="1"/>
      <c r="E18" s="10" t="str">
        <f t="array" ref="E18">IF(ROW()-8&gt;COUNTIFS(Catalog!$B$8:$B$101,"Elixirs",Catalog!$N$8:$N$101,1),"",INDEX(Catalog!$A$8:$A$101,MATCH("Elixirs"&amp;(ROW()-8),Catalog!$O$8:$O$101,0)))</f>
        <v/>
      </c>
      <c r="F18" s="10" t="str">
        <f t="array" ref="F18">IF(ROW()-8&gt;COUNTIFS(Catalog!$B$8:$B$101,"Elixirs",Catalog!$N$8:$N$101,1),"",INDEX(Catalog!$C$8:$C$101,MATCH("Elixirs"&amp;(ROW()-8),Catalog!$O$8:$O$101,0)))</f>
        <v/>
      </c>
      <c r="G18" s="12" t="str">
        <f t="array" ref="G18">IF(ROW()-8&gt;COUNTIFS(Catalog!$B$8:$B$101,"Elixirs",Catalog!$N$8:$N$101,1),"",INDEX(Catalog!$D$8:$D$101,MATCH("Elixirs"&amp;(ROW()-8),Catalog!$O$8:$O$101,0)))</f>
        <v/>
      </c>
      <c r="H18" s="1"/>
      <c r="I18" s="10" t="str">
        <f t="array" ref="I18">IF(ROW()-8&gt;COUNTIFS(Catalog!$B$8:$B$101,"Food",Catalog!$N$8:$N$101,1),"",INDEX(Catalog!$A$8:$A$101,MATCH("Food"&amp;(ROW()-8),Catalog!$O$8:$O$101,0)))</f>
        <v/>
      </c>
      <c r="J18" s="10" t="str">
        <f t="array" ref="J18">IF(ROW()-8&gt;COUNTIFS(Catalog!$B$8:$B$101,"Food",Catalog!$N$8:$N$101,1),"",INDEX(Catalog!$C$8:$C$101,MATCH("Food"&amp;(ROW()-8),Catalog!$O$8:$O$101,0)))</f>
        <v/>
      </c>
      <c r="K18" s="12" t="str">
        <f t="array" ref="K18">IF(ROW()-8&gt;COUNTIFS(Catalog!$B$8:$B$101,"Food",Catalog!$N$8:$N$101,1),"",INDEX(Catalog!$D$8:$D$101,MATCH("Food"&amp;(ROW()-8),Catalog!$O$8:$O$101,0)))</f>
        <v/>
      </c>
    </row>
    <row r="19" ht="33.0" customHeight="1">
      <c r="A19" s="10" t="str">
        <f t="array" ref="A19">IF(ROW()-8&gt;COUNTIFS(Catalog!$B$8:$B$101,"Potions",Catalog!$N$8:$N$101,1),"",INDEX(Catalog!$A$8:$A$101,MATCH("Potions"&amp;(ROW()-8),Catalog!$O$8:$O$101,0)))</f>
        <v/>
      </c>
      <c r="B19" s="10" t="str">
        <f t="array" ref="B19">IF(ROW()-8&gt;COUNTIFS(Catalog!$B$8:$B$101,"Potions",Catalog!$N$8:$N$101,1),"",INDEX(Catalog!$C$8:$C$101,MATCH("Potions"&amp;(ROW()-8),Catalog!$O$8:$O$101,0)))</f>
        <v/>
      </c>
      <c r="C19" s="12" t="str">
        <f t="array" ref="C19">IF(ROW()-8&gt;COUNTIFS(Catalog!$B$8:$B$101,"Potions",Catalog!$N$8:$N$101,1),"",INDEX(Catalog!$D$8:$D$101,MATCH("Potions"&amp;(ROW()-8),Catalog!$O$8:$O$101,0)))</f>
        <v/>
      </c>
      <c r="D19" s="1"/>
      <c r="E19" s="10" t="str">
        <f t="array" ref="E19">IF(ROW()-8&gt;COUNTIFS(Catalog!$B$8:$B$101,"Elixirs",Catalog!$N$8:$N$101,1),"",INDEX(Catalog!$A$8:$A$101,MATCH("Elixirs"&amp;(ROW()-8),Catalog!$O$8:$O$101,0)))</f>
        <v/>
      </c>
      <c r="F19" s="10" t="str">
        <f t="array" ref="F19">IF(ROW()-8&gt;COUNTIFS(Catalog!$B$8:$B$101,"Elixirs",Catalog!$N$8:$N$101,1),"",INDEX(Catalog!$C$8:$C$101,MATCH("Elixirs"&amp;(ROW()-8),Catalog!$O$8:$O$101,0)))</f>
        <v/>
      </c>
      <c r="G19" s="12" t="str">
        <f t="array" ref="G19">IF(ROW()-8&gt;COUNTIFS(Catalog!$B$8:$B$101,"Elixirs",Catalog!$N$8:$N$101,1),"",INDEX(Catalog!$D$8:$D$101,MATCH("Elixirs"&amp;(ROW()-8),Catalog!$O$8:$O$101,0)))</f>
        <v/>
      </c>
      <c r="H19" s="1"/>
      <c r="I19" s="10" t="str">
        <f t="array" ref="I19">IF(ROW()-8&gt;COUNTIFS(Catalog!$B$8:$B$101,"Food",Catalog!$N$8:$N$101,1),"",INDEX(Catalog!$A$8:$A$101,MATCH("Food"&amp;(ROW()-8),Catalog!$O$8:$O$101,0)))</f>
        <v/>
      </c>
      <c r="J19" s="10" t="str">
        <f t="array" ref="J19">IF(ROW()-8&gt;COUNTIFS(Catalog!$B$8:$B$101,"Food",Catalog!$N$8:$N$101,1),"",INDEX(Catalog!$C$8:$C$101,MATCH("Food"&amp;(ROW()-8),Catalog!$O$8:$O$101,0)))</f>
        <v/>
      </c>
      <c r="K19" s="12" t="str">
        <f t="array" ref="K19">IF(ROW()-8&gt;COUNTIFS(Catalog!$B$8:$B$101,"Food",Catalog!$N$8:$N$101,1),"",INDEX(Catalog!$D$8:$D$101,MATCH("Food"&amp;(ROW()-8),Catalog!$O$8:$O$101,0)))</f>
        <v/>
      </c>
    </row>
    <row r="20" ht="33.0" customHeight="1">
      <c r="A20" s="10" t="str">
        <f t="array" ref="A20">IF(ROW()-8&gt;COUNTIFS(Catalog!$B$8:$B$101,"Potions",Catalog!$N$8:$N$101,1),"",INDEX(Catalog!$A$8:$A$101,MATCH("Potions"&amp;(ROW()-8),Catalog!$O$8:$O$101,0)))</f>
        <v/>
      </c>
      <c r="B20" s="10" t="str">
        <f t="array" ref="B20">IF(ROW()-8&gt;COUNTIFS(Catalog!$B$8:$B$101,"Potions",Catalog!$N$8:$N$101,1),"",INDEX(Catalog!$C$8:$C$101,MATCH("Potions"&amp;(ROW()-8),Catalog!$O$8:$O$101,0)))</f>
        <v/>
      </c>
      <c r="C20" s="12" t="str">
        <f t="array" ref="C20">IF(ROW()-8&gt;COUNTIFS(Catalog!$B$8:$B$101,"Potions",Catalog!$N$8:$N$101,1),"",INDEX(Catalog!$D$8:$D$101,MATCH("Potions"&amp;(ROW()-8),Catalog!$O$8:$O$101,0)))</f>
        <v/>
      </c>
      <c r="D20" s="1"/>
      <c r="E20" s="10" t="str">
        <f t="array" ref="E20">IF(ROW()-8&gt;COUNTIFS(Catalog!$B$8:$B$101,"Elixirs",Catalog!$N$8:$N$101,1),"",INDEX(Catalog!$A$8:$A$101,MATCH("Elixirs"&amp;(ROW()-8),Catalog!$O$8:$O$101,0)))</f>
        <v/>
      </c>
      <c r="F20" s="10" t="str">
        <f t="array" ref="F20">IF(ROW()-8&gt;COUNTIFS(Catalog!$B$8:$B$101,"Elixirs",Catalog!$N$8:$N$101,1),"",INDEX(Catalog!$C$8:$C$101,MATCH("Elixirs"&amp;(ROW()-8),Catalog!$O$8:$O$101,0)))</f>
        <v/>
      </c>
      <c r="G20" s="12" t="str">
        <f t="array" ref="G20">IF(ROW()-8&gt;COUNTIFS(Catalog!$B$8:$B$101,"Elixirs",Catalog!$N$8:$N$101,1),"",INDEX(Catalog!$D$8:$D$101,MATCH("Elixirs"&amp;(ROW()-8),Catalog!$O$8:$O$101,0)))</f>
        <v/>
      </c>
      <c r="H20" s="1"/>
      <c r="I20" s="10" t="str">
        <f t="array" ref="I20">IF(ROW()-8&gt;COUNTIFS(Catalog!$B$8:$B$101,"Food",Catalog!$N$8:$N$101,1),"",INDEX(Catalog!$A$8:$A$101,MATCH("Food"&amp;(ROW()-8),Catalog!$O$8:$O$101,0)))</f>
        <v/>
      </c>
      <c r="J20" s="10" t="str">
        <f t="array" ref="J20">IF(ROW()-8&gt;COUNTIFS(Catalog!$B$8:$B$101,"Food",Catalog!$N$8:$N$101,1),"",INDEX(Catalog!$C$8:$C$101,MATCH("Food"&amp;(ROW()-8),Catalog!$O$8:$O$101,0)))</f>
        <v/>
      </c>
      <c r="K20" s="12" t="str">
        <f t="array" ref="K20">IF(ROW()-8&gt;COUNTIFS(Catalog!$B$8:$B$101,"Food",Catalog!$N$8:$N$101,1),"",INDEX(Catalog!$D$8:$D$101,MATCH("Food"&amp;(ROW()-8),Catalog!$O$8:$O$101,0)))</f>
        <v/>
      </c>
    </row>
    <row r="21" ht="33.0" customHeight="1">
      <c r="A21" s="10" t="str">
        <f t="array" ref="A21">IF(ROW()-8&gt;COUNTIFS(Catalog!$B$8:$B$101,"Potions",Catalog!$N$8:$N$101,1),"",INDEX(Catalog!$A$8:$A$101,MATCH("Potions"&amp;(ROW()-8),Catalog!$O$8:$O$101,0)))</f>
        <v/>
      </c>
      <c r="B21" s="10" t="str">
        <f t="array" ref="B21">IF(ROW()-8&gt;COUNTIFS(Catalog!$B$8:$B$101,"Potions",Catalog!$N$8:$N$101,1),"",INDEX(Catalog!$C$8:$C$101,MATCH("Potions"&amp;(ROW()-8),Catalog!$O$8:$O$101,0)))</f>
        <v/>
      </c>
      <c r="C21" s="12" t="str">
        <f t="array" ref="C21">IF(ROW()-8&gt;COUNTIFS(Catalog!$B$8:$B$101,"Potions",Catalog!$N$8:$N$101,1),"",INDEX(Catalog!$D$8:$D$101,MATCH("Potions"&amp;(ROW()-8),Catalog!$O$8:$O$101,0)))</f>
        <v/>
      </c>
      <c r="D21" s="1"/>
      <c r="E21" s="10" t="str">
        <f t="array" ref="E21">IF(ROW()-8&gt;COUNTIFS(Catalog!$B$8:$B$101,"Elixirs",Catalog!$N$8:$N$101,1),"",INDEX(Catalog!$A$8:$A$101,MATCH("Elixirs"&amp;(ROW()-8),Catalog!$O$8:$O$101,0)))</f>
        <v/>
      </c>
      <c r="F21" s="10" t="str">
        <f t="array" ref="F21">IF(ROW()-8&gt;COUNTIFS(Catalog!$B$8:$B$101,"Elixirs",Catalog!$N$8:$N$101,1),"",INDEX(Catalog!$C$8:$C$101,MATCH("Elixirs"&amp;(ROW()-8),Catalog!$O$8:$O$101,0)))</f>
        <v/>
      </c>
      <c r="G21" s="12" t="str">
        <f t="array" ref="G21">IF(ROW()-8&gt;COUNTIFS(Catalog!$B$8:$B$101,"Elixirs",Catalog!$N$8:$N$101,1),"",INDEX(Catalog!$D$8:$D$101,MATCH("Elixirs"&amp;(ROW()-8),Catalog!$O$8:$O$101,0)))</f>
        <v/>
      </c>
      <c r="H21" s="1"/>
      <c r="I21" s="10" t="str">
        <f t="array" ref="I21">IF(ROW()-8&gt;COUNTIFS(Catalog!$B$8:$B$101,"Food",Catalog!$N$8:$N$101,1),"",INDEX(Catalog!$A$8:$A$101,MATCH("Food"&amp;(ROW()-8),Catalog!$O$8:$O$101,0)))</f>
        <v/>
      </c>
      <c r="J21" s="10" t="str">
        <f t="array" ref="J21">IF(ROW()-8&gt;COUNTIFS(Catalog!$B$8:$B$101,"Food",Catalog!$N$8:$N$101,1),"",INDEX(Catalog!$C$8:$C$101,MATCH("Food"&amp;(ROW()-8),Catalog!$O$8:$O$101,0)))</f>
        <v/>
      </c>
      <c r="K21" s="12" t="str">
        <f t="array" ref="K21">IF(ROW()-8&gt;COUNTIFS(Catalog!$B$8:$B$101,"Food",Catalog!$N$8:$N$101,1),"",INDEX(Catalog!$D$8:$D$101,MATCH("Food"&amp;(ROW()-8),Catalog!$O$8:$O$101,0)))</f>
        <v/>
      </c>
    </row>
    <row r="22" ht="33.0" customHeight="1">
      <c r="A22" s="10" t="str">
        <f t="array" ref="A22">IF(ROW()-8&gt;COUNTIFS(Catalog!$B$8:$B$101,"Potions",Catalog!$N$8:$N$101,1),"",INDEX(Catalog!$A$8:$A$101,MATCH("Potions"&amp;(ROW()-8),Catalog!$O$8:$O$101,0)))</f>
        <v/>
      </c>
      <c r="B22" s="10" t="str">
        <f t="array" ref="B22">IF(ROW()-8&gt;COUNTIFS(Catalog!$B$8:$B$101,"Potions",Catalog!$N$8:$N$101,1),"",INDEX(Catalog!$C$8:$C$101,MATCH("Potions"&amp;(ROW()-8),Catalog!$O$8:$O$101,0)))</f>
        <v/>
      </c>
      <c r="C22" s="12" t="str">
        <f t="array" ref="C22">IF(ROW()-8&gt;COUNTIFS(Catalog!$B$8:$B$101,"Potions",Catalog!$N$8:$N$101,1),"",INDEX(Catalog!$D$8:$D$101,MATCH("Potions"&amp;(ROW()-8),Catalog!$O$8:$O$101,0)))</f>
        <v/>
      </c>
      <c r="D22" s="1"/>
      <c r="E22" s="10" t="str">
        <f t="array" ref="E22">IF(ROW()-8&gt;COUNTIFS(Catalog!$B$8:$B$101,"Elixirs",Catalog!$N$8:$N$101,1),"",INDEX(Catalog!$A$8:$A$101,MATCH("Elixirs"&amp;(ROW()-8),Catalog!$O$8:$O$101,0)))</f>
        <v/>
      </c>
      <c r="F22" s="10" t="str">
        <f t="array" ref="F22">IF(ROW()-8&gt;COUNTIFS(Catalog!$B$8:$B$101,"Elixirs",Catalog!$N$8:$N$101,1),"",INDEX(Catalog!$C$8:$C$101,MATCH("Elixirs"&amp;(ROW()-8),Catalog!$O$8:$O$101,0)))</f>
        <v/>
      </c>
      <c r="G22" s="12" t="str">
        <f t="array" ref="G22">IF(ROW()-8&gt;COUNTIFS(Catalog!$B$8:$B$101,"Elixirs",Catalog!$N$8:$N$101,1),"",INDEX(Catalog!$D$8:$D$101,MATCH("Elixirs"&amp;(ROW()-8),Catalog!$O$8:$O$101,0)))</f>
        <v/>
      </c>
      <c r="H22" s="1"/>
      <c r="I22" s="10" t="str">
        <f t="array" ref="I22">IF(ROW()-8&gt;COUNTIFS(Catalog!$B$8:$B$101,"Food",Catalog!$N$8:$N$101,1),"",INDEX(Catalog!$A$8:$A$101,MATCH("Food"&amp;(ROW()-8),Catalog!$O$8:$O$101,0)))</f>
        <v/>
      </c>
      <c r="J22" s="10" t="str">
        <f t="array" ref="J22">IF(ROW()-8&gt;COUNTIFS(Catalog!$B$8:$B$101,"Food",Catalog!$N$8:$N$101,1),"",INDEX(Catalog!$C$8:$C$101,MATCH("Food"&amp;(ROW()-8),Catalog!$O$8:$O$101,0)))</f>
        <v/>
      </c>
      <c r="K22" s="12" t="str">
        <f t="array" ref="K22">IF(ROW()-8&gt;COUNTIFS(Catalog!$B$8:$B$101,"Food",Catalog!$N$8:$N$101,1),"",INDEX(Catalog!$D$8:$D$101,MATCH("Food"&amp;(ROW()-8),Catalog!$O$8:$O$101,0)))</f>
        <v/>
      </c>
    </row>
    <row r="23" ht="33.0" customHeight="1">
      <c r="A23" s="10" t="str">
        <f t="array" ref="A23">IF(ROW()-8&gt;COUNTIFS(Catalog!$B$8:$B$101,"Potions",Catalog!$N$8:$N$101,1),"",INDEX(Catalog!$A$8:$A$101,MATCH("Potions"&amp;(ROW()-8),Catalog!$O$8:$O$101,0)))</f>
        <v/>
      </c>
      <c r="B23" s="10" t="str">
        <f t="array" ref="B23">IF(ROW()-8&gt;COUNTIFS(Catalog!$B$8:$B$101,"Potions",Catalog!$N$8:$N$101,1),"",INDEX(Catalog!$C$8:$C$101,MATCH("Potions"&amp;(ROW()-8),Catalog!$O$8:$O$101,0)))</f>
        <v/>
      </c>
      <c r="C23" s="12" t="str">
        <f t="array" ref="C23">IF(ROW()-8&gt;COUNTIFS(Catalog!$B$8:$B$101,"Potions",Catalog!$N$8:$N$101,1),"",INDEX(Catalog!$D$8:$D$101,MATCH("Potions"&amp;(ROW()-8),Catalog!$O$8:$O$101,0)))</f>
        <v/>
      </c>
      <c r="D23" s="1"/>
      <c r="E23" s="10" t="str">
        <f t="array" ref="E23">IF(ROW()-8&gt;COUNTIFS(Catalog!$B$8:$B$101,"Elixirs",Catalog!$N$8:$N$101,1),"",INDEX(Catalog!$A$8:$A$101,MATCH("Elixirs"&amp;(ROW()-8),Catalog!$O$8:$O$101,0)))</f>
        <v/>
      </c>
      <c r="F23" s="10" t="str">
        <f t="array" ref="F23">IF(ROW()-8&gt;COUNTIFS(Catalog!$B$8:$B$101,"Elixirs",Catalog!$N$8:$N$101,1),"",INDEX(Catalog!$C$8:$C$101,MATCH("Elixirs"&amp;(ROW()-8),Catalog!$O$8:$O$101,0)))</f>
        <v/>
      </c>
      <c r="G23" s="12" t="str">
        <f t="array" ref="G23">IF(ROW()-8&gt;COUNTIFS(Catalog!$B$8:$B$101,"Elixirs",Catalog!$N$8:$N$101,1),"",INDEX(Catalog!$D$8:$D$101,MATCH("Elixirs"&amp;(ROW()-8),Catalog!$O$8:$O$101,0)))</f>
        <v/>
      </c>
      <c r="H23" s="1"/>
      <c r="I23" s="10" t="str">
        <f t="array" ref="I23">IF(ROW()-8&gt;COUNTIFS(Catalog!$B$8:$B$101,"Food",Catalog!$N$8:$N$101,1),"",INDEX(Catalog!$A$8:$A$101,MATCH("Food"&amp;(ROW()-8),Catalog!$O$8:$O$101,0)))</f>
        <v/>
      </c>
      <c r="J23" s="10" t="str">
        <f t="array" ref="J23">IF(ROW()-8&gt;COUNTIFS(Catalog!$B$8:$B$101,"Food",Catalog!$N$8:$N$101,1),"",INDEX(Catalog!$C$8:$C$101,MATCH("Food"&amp;(ROW()-8),Catalog!$O$8:$O$101,0)))</f>
        <v/>
      </c>
      <c r="K23" s="12" t="str">
        <f t="array" ref="K23">IF(ROW()-8&gt;COUNTIFS(Catalog!$B$8:$B$101,"Food",Catalog!$N$8:$N$101,1),"",INDEX(Catalog!$D$8:$D$101,MATCH("Food"&amp;(ROW()-8),Catalog!$O$8:$O$101,0)))</f>
        <v/>
      </c>
    </row>
    <row r="24" ht="33.0" customHeight="1">
      <c r="A24" s="10" t="str">
        <f t="array" ref="A24">IF(ROW()-8&gt;COUNTIFS(Catalog!$B$8:$B$101,"Potions",Catalog!$N$8:$N$101,1),"",INDEX(Catalog!$A$8:$A$101,MATCH("Potions"&amp;(ROW()-8),Catalog!$O$8:$O$101,0)))</f>
        <v/>
      </c>
      <c r="B24" s="10" t="str">
        <f t="array" ref="B24">IF(ROW()-8&gt;COUNTIFS(Catalog!$B$8:$B$101,"Potions",Catalog!$N$8:$N$101,1),"",INDEX(Catalog!$C$8:$C$101,MATCH("Potions"&amp;(ROW()-8),Catalog!$O$8:$O$101,0)))</f>
        <v/>
      </c>
      <c r="C24" s="12" t="str">
        <f t="array" ref="C24">IF(ROW()-8&gt;COUNTIFS(Catalog!$B$8:$B$101,"Potions",Catalog!$N$8:$N$101,1),"",INDEX(Catalog!$D$8:$D$101,MATCH("Potions"&amp;(ROW()-8),Catalog!$O$8:$O$101,0)))</f>
        <v/>
      </c>
      <c r="D24" s="1"/>
      <c r="E24" s="10" t="str">
        <f t="array" ref="E24">IF(ROW()-8&gt;COUNTIFS(Catalog!$B$8:$B$101,"Elixirs",Catalog!$N$8:$N$101,1),"",INDEX(Catalog!$A$8:$A$101,MATCH("Elixirs"&amp;(ROW()-8),Catalog!$O$8:$O$101,0)))</f>
        <v/>
      </c>
      <c r="F24" s="10" t="str">
        <f t="array" ref="F24">IF(ROW()-8&gt;COUNTIFS(Catalog!$B$8:$B$101,"Elixirs",Catalog!$N$8:$N$101,1),"",INDEX(Catalog!$C$8:$C$101,MATCH("Elixirs"&amp;(ROW()-8),Catalog!$O$8:$O$101,0)))</f>
        <v/>
      </c>
      <c r="G24" s="12" t="str">
        <f t="array" ref="G24">IF(ROW()-8&gt;COUNTIFS(Catalog!$B$8:$B$101,"Elixirs",Catalog!$N$8:$N$101,1),"",INDEX(Catalog!$D$8:$D$101,MATCH("Elixirs"&amp;(ROW()-8),Catalog!$O$8:$O$101,0)))</f>
        <v/>
      </c>
      <c r="H24" s="1"/>
      <c r="I24" s="10" t="str">
        <f t="array" ref="I24">IF(ROW()-8&gt;COUNTIFS(Catalog!$B$8:$B$101,"Food",Catalog!$N$8:$N$101,1),"",INDEX(Catalog!$A$8:$A$101,MATCH("Food"&amp;(ROW()-8),Catalog!$O$8:$O$101,0)))</f>
        <v/>
      </c>
      <c r="J24" s="10" t="str">
        <f t="array" ref="J24">IF(ROW()-8&gt;COUNTIFS(Catalog!$B$8:$B$101,"Food",Catalog!$N$8:$N$101,1),"",INDEX(Catalog!$C$8:$C$101,MATCH("Food"&amp;(ROW()-8),Catalog!$O$8:$O$101,0)))</f>
        <v/>
      </c>
      <c r="K24" s="12" t="str">
        <f t="array" ref="K24">IF(ROW()-8&gt;COUNTIFS(Catalog!$B$8:$B$101,"Food",Catalog!$N$8:$N$101,1),"",INDEX(Catalog!$D$8:$D$101,MATCH("Food"&amp;(ROW()-8),Catalog!$O$8:$O$101,0)))</f>
        <v/>
      </c>
    </row>
    <row r="25" ht="33.0" customHeight="1">
      <c r="A25" s="10" t="str">
        <f t="array" ref="A25">IF(ROW()-8&gt;COUNTIFS(Catalog!$B$8:$B$101,"Potions",Catalog!$N$8:$N$101,1),"",INDEX(Catalog!$A$8:$A$101,MATCH("Potions"&amp;(ROW()-8),Catalog!$O$8:$O$101,0)))</f>
        <v/>
      </c>
      <c r="B25" s="10" t="str">
        <f t="array" ref="B25">IF(ROW()-8&gt;COUNTIFS(Catalog!$B$8:$B$101,"Potions",Catalog!$N$8:$N$101,1),"",INDEX(Catalog!$C$8:$C$101,MATCH("Potions"&amp;(ROW()-8),Catalog!$O$8:$O$101,0)))</f>
        <v/>
      </c>
      <c r="C25" s="12" t="str">
        <f t="array" ref="C25">IF(ROW()-8&gt;COUNTIFS(Catalog!$B$8:$B$101,"Potions",Catalog!$N$8:$N$101,1),"",INDEX(Catalog!$D$8:$D$101,MATCH("Potions"&amp;(ROW()-8),Catalog!$O$8:$O$101,0)))</f>
        <v/>
      </c>
      <c r="D25" s="1"/>
      <c r="E25" s="10" t="str">
        <f t="array" ref="E25">IF(ROW()-8&gt;COUNTIFS(Catalog!$B$8:$B$101,"Elixirs",Catalog!$N$8:$N$101,1),"",INDEX(Catalog!$A$8:$A$101,MATCH("Elixirs"&amp;(ROW()-8),Catalog!$O$8:$O$101,0)))</f>
        <v/>
      </c>
      <c r="F25" s="10" t="str">
        <f t="array" ref="F25">IF(ROW()-8&gt;COUNTIFS(Catalog!$B$8:$B$101,"Elixirs",Catalog!$N$8:$N$101,1),"",INDEX(Catalog!$C$8:$C$101,MATCH("Elixirs"&amp;(ROW()-8),Catalog!$O$8:$O$101,0)))</f>
        <v/>
      </c>
      <c r="G25" s="12" t="str">
        <f t="array" ref="G25">IF(ROW()-8&gt;COUNTIFS(Catalog!$B$8:$B$101,"Elixirs",Catalog!$N$8:$N$101,1),"",INDEX(Catalog!$D$8:$D$101,MATCH("Elixirs"&amp;(ROW()-8),Catalog!$O$8:$O$101,0)))</f>
        <v/>
      </c>
      <c r="H25" s="1"/>
      <c r="I25" s="10" t="str">
        <f t="array" ref="I25">IF(ROW()-8&gt;COUNTIFS(Catalog!$B$8:$B$101,"Food",Catalog!$N$8:$N$101,1),"",INDEX(Catalog!$A$8:$A$101,MATCH("Food"&amp;(ROW()-8),Catalog!$O$8:$O$101,0)))</f>
        <v/>
      </c>
      <c r="J25" s="10" t="str">
        <f t="array" ref="J25">IF(ROW()-8&gt;COUNTIFS(Catalog!$B$8:$B$101,"Food",Catalog!$N$8:$N$101,1),"",INDEX(Catalog!$C$8:$C$101,MATCH("Food"&amp;(ROW()-8),Catalog!$O$8:$O$101,0)))</f>
        <v/>
      </c>
      <c r="K25" s="12" t="str">
        <f t="array" ref="K25">IF(ROW()-8&gt;COUNTIFS(Catalog!$B$8:$B$101,"Food",Catalog!$N$8:$N$101,1),"",INDEX(Catalog!$D$8:$D$101,MATCH("Food"&amp;(ROW()-8),Catalog!$O$8:$O$101,0)))</f>
        <v/>
      </c>
    </row>
    <row r="26" ht="33.0" customHeight="1">
      <c r="A26" s="10" t="str">
        <f t="array" ref="A26">IF(ROW()-8&gt;COUNTIFS(Catalog!$B$8:$B$101,"Potions",Catalog!$N$8:$N$101,1),"",INDEX(Catalog!$A$8:$A$101,MATCH("Potions"&amp;(ROW()-8),Catalog!$O$8:$O$101,0)))</f>
        <v/>
      </c>
      <c r="B26" s="10" t="str">
        <f t="array" ref="B26">IF(ROW()-8&gt;COUNTIFS(Catalog!$B$8:$B$101,"Potions",Catalog!$N$8:$N$101,1),"",INDEX(Catalog!$C$8:$C$101,MATCH("Potions"&amp;(ROW()-8),Catalog!$O$8:$O$101,0)))</f>
        <v/>
      </c>
      <c r="C26" s="12" t="str">
        <f t="array" ref="C26">IF(ROW()-8&gt;COUNTIFS(Catalog!$B$8:$B$101,"Potions",Catalog!$N$8:$N$101,1),"",INDEX(Catalog!$D$8:$D$101,MATCH("Potions"&amp;(ROW()-8),Catalog!$O$8:$O$101,0)))</f>
        <v/>
      </c>
      <c r="D26" s="1"/>
      <c r="E26" s="10" t="str">
        <f t="array" ref="E26">IF(ROW()-8&gt;COUNTIFS(Catalog!$B$8:$B$101,"Elixirs",Catalog!$N$8:$N$101,1),"",INDEX(Catalog!$A$8:$A$101,MATCH("Elixirs"&amp;(ROW()-8),Catalog!$O$8:$O$101,0)))</f>
        <v/>
      </c>
      <c r="F26" s="10" t="str">
        <f t="array" ref="F26">IF(ROW()-8&gt;COUNTIFS(Catalog!$B$8:$B$101,"Elixirs",Catalog!$N$8:$N$101,1),"",INDEX(Catalog!$C$8:$C$101,MATCH("Elixirs"&amp;(ROW()-8),Catalog!$O$8:$O$101,0)))</f>
        <v/>
      </c>
      <c r="G26" s="12" t="str">
        <f t="array" ref="G26">IF(ROW()-8&gt;COUNTIFS(Catalog!$B$8:$B$101,"Elixirs",Catalog!$N$8:$N$101,1),"",INDEX(Catalog!$D$8:$D$101,MATCH("Elixirs"&amp;(ROW()-8),Catalog!$O$8:$O$101,0)))</f>
        <v/>
      </c>
      <c r="H26" s="1"/>
      <c r="I26" s="10" t="str">
        <f t="array" ref="I26">IF(ROW()-8&gt;COUNTIFS(Catalog!$B$8:$B$101,"Food",Catalog!$N$8:$N$101,1),"",INDEX(Catalog!$A$8:$A$101,MATCH("Food"&amp;(ROW()-8),Catalog!$O$8:$O$101,0)))</f>
        <v/>
      </c>
      <c r="J26" s="10" t="str">
        <f t="array" ref="J26">IF(ROW()-8&gt;COUNTIFS(Catalog!$B$8:$B$101,"Food",Catalog!$N$8:$N$101,1),"",INDEX(Catalog!$C$8:$C$101,MATCH("Food"&amp;(ROW()-8),Catalog!$O$8:$O$101,0)))</f>
        <v/>
      </c>
      <c r="K26" s="12" t="str">
        <f t="array" ref="K26">IF(ROW()-8&gt;COUNTIFS(Catalog!$B$8:$B$101,"Food",Catalog!$N$8:$N$101,1),"",INDEX(Catalog!$D$8:$D$101,MATCH("Food"&amp;(ROW()-8),Catalog!$O$8:$O$101,0)))</f>
        <v/>
      </c>
    </row>
    <row r="27" ht="33.0" customHeight="1">
      <c r="A27" s="10" t="str">
        <f t="array" ref="A27">IF(ROW()-8&gt;COUNTIFS(Catalog!$B$8:$B$101,"Potions",Catalog!$N$8:$N$101,1),"",INDEX(Catalog!$A$8:$A$101,MATCH("Potions"&amp;(ROW()-8),Catalog!$O$8:$O$101,0)))</f>
        <v/>
      </c>
      <c r="B27" s="10" t="str">
        <f t="array" ref="B27">IF(ROW()-8&gt;COUNTIFS(Catalog!$B$8:$B$101,"Potions",Catalog!$N$8:$N$101,1),"",INDEX(Catalog!$C$8:$C$101,MATCH("Potions"&amp;(ROW()-8),Catalog!$O$8:$O$101,0)))</f>
        <v/>
      </c>
      <c r="C27" s="12" t="str">
        <f t="array" ref="C27">IF(ROW()-8&gt;COUNTIFS(Catalog!$B$8:$B$101,"Potions",Catalog!$N$8:$N$101,1),"",INDEX(Catalog!$D$8:$D$101,MATCH("Potions"&amp;(ROW()-8),Catalog!$O$8:$O$101,0)))</f>
        <v/>
      </c>
      <c r="D27" s="1"/>
      <c r="E27" s="10" t="str">
        <f t="array" ref="E27">IF(ROW()-8&gt;COUNTIFS(Catalog!$B$8:$B$101,"Elixirs",Catalog!$N$8:$N$101,1),"",INDEX(Catalog!$A$8:$A$101,MATCH("Elixirs"&amp;(ROW()-8),Catalog!$O$8:$O$101,0)))</f>
        <v/>
      </c>
      <c r="F27" s="10" t="str">
        <f t="array" ref="F27">IF(ROW()-8&gt;COUNTIFS(Catalog!$B$8:$B$101,"Elixirs",Catalog!$N$8:$N$101,1),"",INDEX(Catalog!$C$8:$C$101,MATCH("Elixirs"&amp;(ROW()-8),Catalog!$O$8:$O$101,0)))</f>
        <v/>
      </c>
      <c r="G27" s="12" t="str">
        <f t="array" ref="G27">IF(ROW()-8&gt;COUNTIFS(Catalog!$B$8:$B$101,"Elixirs",Catalog!$N$8:$N$101,1),"",INDEX(Catalog!$D$8:$D$101,MATCH("Elixirs"&amp;(ROW()-8),Catalog!$O$8:$O$101,0)))</f>
        <v/>
      </c>
      <c r="H27" s="1"/>
      <c r="I27" s="10" t="str">
        <f t="array" ref="I27">IF(ROW()-8&gt;COUNTIFS(Catalog!$B$8:$B$101,"Food",Catalog!$N$8:$N$101,1),"",INDEX(Catalog!$A$8:$A$101,MATCH("Food"&amp;(ROW()-8),Catalog!$O$8:$O$101,0)))</f>
        <v/>
      </c>
      <c r="J27" s="10" t="str">
        <f t="array" ref="J27">IF(ROW()-8&gt;COUNTIFS(Catalog!$B$8:$B$101,"Food",Catalog!$N$8:$N$101,1),"",INDEX(Catalog!$C$8:$C$101,MATCH("Food"&amp;(ROW()-8),Catalog!$O$8:$O$101,0)))</f>
        <v/>
      </c>
      <c r="K27" s="12" t="str">
        <f t="array" ref="K27">IF(ROW()-8&gt;COUNTIFS(Catalog!$B$8:$B$101,"Food",Catalog!$N$8:$N$101,1),"",INDEX(Catalog!$D$8:$D$101,MATCH("Food"&amp;(ROW()-8),Catalog!$O$8:$O$101,0)))</f>
        <v/>
      </c>
    </row>
    <row r="28" ht="33.0" customHeight="1">
      <c r="A28" s="10" t="str">
        <f t="array" ref="A28">IF(ROW()-8&gt;COUNTIFS(Catalog!$B$8:$B$101,"Potions",Catalog!$N$8:$N$101,1),"",INDEX(Catalog!$A$8:$A$101,MATCH("Potions"&amp;(ROW()-8),Catalog!$O$8:$O$101,0)))</f>
        <v/>
      </c>
      <c r="B28" s="10" t="str">
        <f t="array" ref="B28">IF(ROW()-8&gt;COUNTIFS(Catalog!$B$8:$B$101,"Potions",Catalog!$N$8:$N$101,1),"",INDEX(Catalog!$C$8:$C$101,MATCH("Potions"&amp;(ROW()-8),Catalog!$O$8:$O$101,0)))</f>
        <v/>
      </c>
      <c r="C28" s="12" t="str">
        <f t="array" ref="C28">IF(ROW()-8&gt;COUNTIFS(Catalog!$B$8:$B$101,"Potions",Catalog!$N$8:$N$101,1),"",INDEX(Catalog!$D$8:$D$101,MATCH("Potions"&amp;(ROW()-8),Catalog!$O$8:$O$101,0)))</f>
        <v/>
      </c>
      <c r="D28" s="1"/>
      <c r="E28" s="10" t="str">
        <f t="array" ref="E28">IF(ROW()-8&gt;COUNTIFS(Catalog!$B$8:$B$101,"Elixirs",Catalog!$N$8:$N$101,1),"",INDEX(Catalog!$A$8:$A$101,MATCH("Elixirs"&amp;(ROW()-8),Catalog!$O$8:$O$101,0)))</f>
        <v/>
      </c>
      <c r="F28" s="10" t="str">
        <f t="array" ref="F28">IF(ROW()-8&gt;COUNTIFS(Catalog!$B$8:$B$101,"Elixirs",Catalog!$N$8:$N$101,1),"",INDEX(Catalog!$C$8:$C$101,MATCH("Elixirs"&amp;(ROW()-8),Catalog!$O$8:$O$101,0)))</f>
        <v/>
      </c>
      <c r="G28" s="12" t="str">
        <f t="array" ref="G28">IF(ROW()-8&gt;COUNTIFS(Catalog!$B$8:$B$101,"Elixirs",Catalog!$N$8:$N$101,1),"",INDEX(Catalog!$D$8:$D$101,MATCH("Elixirs"&amp;(ROW()-8),Catalog!$O$8:$O$101,0)))</f>
        <v/>
      </c>
      <c r="H28" s="1"/>
      <c r="I28" s="10" t="str">
        <f t="array" ref="I28">IF(ROW()-8&gt;COUNTIFS(Catalog!$B$8:$B$101,"Food",Catalog!$N$8:$N$101,1),"",INDEX(Catalog!$A$8:$A$101,MATCH("Food"&amp;(ROW()-8),Catalog!$O$8:$O$101,0)))</f>
        <v/>
      </c>
      <c r="J28" s="10" t="str">
        <f t="array" ref="J28">IF(ROW()-8&gt;COUNTIFS(Catalog!$B$8:$B$101,"Food",Catalog!$N$8:$N$101,1),"",INDEX(Catalog!$C$8:$C$101,MATCH("Food"&amp;(ROW()-8),Catalog!$O$8:$O$101,0)))</f>
        <v/>
      </c>
      <c r="K28" s="12" t="str">
        <f t="array" ref="K28">IF(ROW()-8&gt;COUNTIFS(Catalog!$B$8:$B$101,"Food",Catalog!$N$8:$N$101,1),"",INDEX(Catalog!$D$8:$D$101,MATCH("Food"&amp;(ROW()-8),Catalog!$O$8:$O$101,0)))</f>
        <v/>
      </c>
    </row>
    <row r="29" ht="33.0" customHeight="1">
      <c r="A29" s="10" t="str">
        <f t="array" ref="A29">IF(ROW()-8&gt;COUNTIFS(Catalog!$B$8:$B$101,"Potions",Catalog!$N$8:$N$101,1),"",INDEX(Catalog!$A$8:$A$101,MATCH("Potions"&amp;(ROW()-8),Catalog!$O$8:$O$101,0)))</f>
        <v/>
      </c>
      <c r="B29" s="10" t="str">
        <f t="array" ref="B29">IF(ROW()-8&gt;COUNTIFS(Catalog!$B$8:$B$101,"Potions",Catalog!$N$8:$N$101,1),"",INDEX(Catalog!$C$8:$C$101,MATCH("Potions"&amp;(ROW()-8),Catalog!$O$8:$O$101,0)))</f>
        <v/>
      </c>
      <c r="C29" s="12" t="str">
        <f t="array" ref="C29">IF(ROW()-8&gt;COUNTIFS(Catalog!$B$8:$B$101,"Potions",Catalog!$N$8:$N$101,1),"",INDEX(Catalog!$D$8:$D$101,MATCH("Potions"&amp;(ROW()-8),Catalog!$O$8:$O$101,0)))</f>
        <v/>
      </c>
      <c r="D29" s="1"/>
      <c r="E29" s="10" t="str">
        <f t="array" ref="E29">IF(ROW()-8&gt;COUNTIFS(Catalog!$B$8:$B$101,"Elixirs",Catalog!$N$8:$N$101,1),"",INDEX(Catalog!$A$8:$A$101,MATCH("Elixirs"&amp;(ROW()-8),Catalog!$O$8:$O$101,0)))</f>
        <v/>
      </c>
      <c r="F29" s="10" t="str">
        <f t="array" ref="F29">IF(ROW()-8&gt;COUNTIFS(Catalog!$B$8:$B$101,"Elixirs",Catalog!$N$8:$N$101,1),"",INDEX(Catalog!$C$8:$C$101,MATCH("Elixirs"&amp;(ROW()-8),Catalog!$O$8:$O$101,0)))</f>
        <v/>
      </c>
      <c r="G29" s="12" t="str">
        <f t="array" ref="G29">IF(ROW()-8&gt;COUNTIFS(Catalog!$B$8:$B$101,"Elixirs",Catalog!$N$8:$N$101,1),"",INDEX(Catalog!$D$8:$D$101,MATCH("Elixirs"&amp;(ROW()-8),Catalog!$O$8:$O$101,0)))</f>
        <v/>
      </c>
      <c r="H29" s="1"/>
      <c r="I29" s="10" t="str">
        <f t="array" ref="I29">IF(ROW()-8&gt;COUNTIFS(Catalog!$B$8:$B$101,"Food",Catalog!$N$8:$N$101,1),"",INDEX(Catalog!$A$8:$A$101,MATCH("Food"&amp;(ROW()-8),Catalog!$O$8:$O$101,0)))</f>
        <v/>
      </c>
      <c r="J29" s="10" t="str">
        <f t="array" ref="J29">IF(ROW()-8&gt;COUNTIFS(Catalog!$B$8:$B$101,"Food",Catalog!$N$8:$N$101,1),"",INDEX(Catalog!$C$8:$C$101,MATCH("Food"&amp;(ROW()-8),Catalog!$O$8:$O$101,0)))</f>
        <v/>
      </c>
      <c r="K29" s="12" t="str">
        <f t="array" ref="K29">IF(ROW()-8&gt;COUNTIFS(Catalog!$B$8:$B$101,"Food",Catalog!$N$8:$N$101,1),"",INDEX(Catalog!$D$8:$D$101,MATCH("Food"&amp;(ROW()-8),Catalog!$O$8:$O$101,0)))</f>
        <v/>
      </c>
    </row>
    <row r="30" ht="33.0" customHeight="1">
      <c r="A30" s="10" t="str">
        <f t="array" ref="A30">IF(ROW()-8&gt;COUNTIFS(Catalog!$B$8:$B$101,"Potions",Catalog!$N$8:$N$101,1),"",INDEX(Catalog!$A$8:$A$101,MATCH("Potions"&amp;(ROW()-8),Catalog!$O$8:$O$101,0)))</f>
        <v/>
      </c>
      <c r="B30" s="10" t="str">
        <f t="array" ref="B30">IF(ROW()-8&gt;COUNTIFS(Catalog!$B$8:$B$101,"Potions",Catalog!$N$8:$N$101,1),"",INDEX(Catalog!$C$8:$C$101,MATCH("Potions"&amp;(ROW()-8),Catalog!$O$8:$O$101,0)))</f>
        <v/>
      </c>
      <c r="C30" s="12" t="str">
        <f t="array" ref="C30">IF(ROW()-8&gt;COUNTIFS(Catalog!$B$8:$B$101,"Potions",Catalog!$N$8:$N$101,1),"",INDEX(Catalog!$D$8:$D$101,MATCH("Potions"&amp;(ROW()-8),Catalog!$O$8:$O$101,0)))</f>
        <v/>
      </c>
      <c r="D30" s="1"/>
      <c r="E30" s="10" t="str">
        <f t="array" ref="E30">IF(ROW()-8&gt;COUNTIFS(Catalog!$B$8:$B$101,"Elixirs",Catalog!$N$8:$N$101,1),"",INDEX(Catalog!$A$8:$A$101,MATCH("Elixirs"&amp;(ROW()-8),Catalog!$O$8:$O$101,0)))</f>
        <v/>
      </c>
      <c r="F30" s="10" t="str">
        <f t="array" ref="F30">IF(ROW()-8&gt;COUNTIFS(Catalog!$B$8:$B$101,"Elixirs",Catalog!$N$8:$N$101,1),"",INDEX(Catalog!$C$8:$C$101,MATCH("Elixirs"&amp;(ROW()-8),Catalog!$O$8:$O$101,0)))</f>
        <v/>
      </c>
      <c r="G30" s="12" t="str">
        <f t="array" ref="G30">IF(ROW()-8&gt;COUNTIFS(Catalog!$B$8:$B$101,"Elixirs",Catalog!$N$8:$N$101,1),"",INDEX(Catalog!$D$8:$D$101,MATCH("Elixirs"&amp;(ROW()-8),Catalog!$O$8:$O$101,0)))</f>
        <v/>
      </c>
      <c r="H30" s="1"/>
      <c r="I30" s="10" t="str">
        <f t="array" ref="I30">IF(ROW()-8&gt;COUNTIFS(Catalog!$B$8:$B$101,"Food",Catalog!$N$8:$N$101,1),"",INDEX(Catalog!$A$8:$A$101,MATCH("Food"&amp;(ROW()-8),Catalog!$O$8:$O$101,0)))</f>
        <v/>
      </c>
      <c r="J30" s="10" t="str">
        <f t="array" ref="J30">IF(ROW()-8&gt;COUNTIFS(Catalog!$B$8:$B$101,"Food",Catalog!$N$8:$N$101,1),"",INDEX(Catalog!$C$8:$C$101,MATCH("Food"&amp;(ROW()-8),Catalog!$O$8:$O$101,0)))</f>
        <v/>
      </c>
      <c r="K30" s="12" t="str">
        <f t="array" ref="K30">IF(ROW()-8&gt;COUNTIFS(Catalog!$B$8:$B$101,"Food",Catalog!$N$8:$N$101,1),"",INDEX(Catalog!$D$8:$D$101,MATCH("Food"&amp;(ROW()-8),Catalog!$O$8:$O$101,0)))</f>
        <v/>
      </c>
    </row>
    <row r="31" ht="33.0" customHeight="1">
      <c r="A31" s="10" t="str">
        <f t="array" ref="A31">IF(ROW()-8&gt;COUNTIFS(Catalog!$B$8:$B$101,"Potions",Catalog!$N$8:$N$101,1),"",INDEX(Catalog!$A$8:$A$101,MATCH("Potions"&amp;(ROW()-8),Catalog!$O$8:$O$101,0)))</f>
        <v/>
      </c>
      <c r="B31" s="10" t="str">
        <f t="array" ref="B31">IF(ROW()-8&gt;COUNTIFS(Catalog!$B$8:$B$101,"Potions",Catalog!$N$8:$N$101,1),"",INDEX(Catalog!$C$8:$C$101,MATCH("Potions"&amp;(ROW()-8),Catalog!$O$8:$O$101,0)))</f>
        <v/>
      </c>
      <c r="C31" s="12" t="str">
        <f t="array" ref="C31">IF(ROW()-8&gt;COUNTIFS(Catalog!$B$8:$B$101,"Potions",Catalog!$N$8:$N$101,1),"",INDEX(Catalog!$D$8:$D$101,MATCH("Potions"&amp;(ROW()-8),Catalog!$O$8:$O$101,0)))</f>
        <v/>
      </c>
      <c r="D31" s="1"/>
      <c r="E31" s="10" t="str">
        <f t="array" ref="E31">IF(ROW()-8&gt;COUNTIFS(Catalog!$B$8:$B$101,"Elixirs",Catalog!$N$8:$N$101,1),"",INDEX(Catalog!$A$8:$A$101,MATCH("Elixirs"&amp;(ROW()-8),Catalog!$O$8:$O$101,0)))</f>
        <v/>
      </c>
      <c r="F31" s="10" t="str">
        <f t="array" ref="F31">IF(ROW()-8&gt;COUNTIFS(Catalog!$B$8:$B$101,"Elixirs",Catalog!$N$8:$N$101,1),"",INDEX(Catalog!$C$8:$C$101,MATCH("Elixirs"&amp;(ROW()-8),Catalog!$O$8:$O$101,0)))</f>
        <v/>
      </c>
      <c r="G31" s="12" t="str">
        <f t="array" ref="G31">IF(ROW()-8&gt;COUNTIFS(Catalog!$B$8:$B$101,"Elixirs",Catalog!$N$8:$N$101,1),"",INDEX(Catalog!$D$8:$D$101,MATCH("Elixirs"&amp;(ROW()-8),Catalog!$O$8:$O$101,0)))</f>
        <v/>
      </c>
      <c r="H31" s="1"/>
      <c r="I31" s="10" t="str">
        <f t="array" ref="I31">IF(ROW()-8&gt;COUNTIFS(Catalog!$B$8:$B$101,"Food",Catalog!$N$8:$N$101,1),"",INDEX(Catalog!$A$8:$A$101,MATCH("Food"&amp;(ROW()-8),Catalog!$O$8:$O$101,0)))</f>
        <v/>
      </c>
      <c r="J31" s="10" t="str">
        <f t="array" ref="J31">IF(ROW()-8&gt;COUNTIFS(Catalog!$B$8:$B$101,"Food",Catalog!$N$8:$N$101,1),"",INDEX(Catalog!$C$8:$C$101,MATCH("Food"&amp;(ROW()-8),Catalog!$O$8:$O$101,0)))</f>
        <v/>
      </c>
      <c r="K31" s="12" t="str">
        <f t="array" ref="K31">IF(ROW()-8&gt;COUNTIFS(Catalog!$B$8:$B$101,"Food",Catalog!$N$8:$N$101,1),"",INDEX(Catalog!$D$8:$D$101,MATCH("Food"&amp;(ROW()-8),Catalog!$O$8:$O$101,0)))</f>
        <v/>
      </c>
    </row>
    <row r="32" ht="33.0" customHeight="1">
      <c r="A32" s="10" t="str">
        <f t="array" ref="A32">IF(ROW()-8&gt;COUNTIFS(Catalog!$B$8:$B$101,"Potions",Catalog!$N$8:$N$101,1),"",INDEX(Catalog!$A$8:$A$101,MATCH("Potions"&amp;(ROW()-8),Catalog!$O$8:$O$101,0)))</f>
        <v/>
      </c>
      <c r="B32" s="10" t="str">
        <f t="array" ref="B32">IF(ROW()-8&gt;COUNTIFS(Catalog!$B$8:$B$101,"Potions",Catalog!$N$8:$N$101,1),"",INDEX(Catalog!$C$8:$C$101,MATCH("Potions"&amp;(ROW()-8),Catalog!$O$8:$O$101,0)))</f>
        <v/>
      </c>
      <c r="C32" s="12" t="str">
        <f t="array" ref="C32">IF(ROW()-8&gt;COUNTIFS(Catalog!$B$8:$B$101,"Potions",Catalog!$N$8:$N$101,1),"",INDEX(Catalog!$D$8:$D$101,MATCH("Potions"&amp;(ROW()-8),Catalog!$O$8:$O$101,0)))</f>
        <v/>
      </c>
      <c r="D32" s="1"/>
      <c r="E32" s="10" t="str">
        <f t="array" ref="E32">IF(ROW()-8&gt;COUNTIFS(Catalog!$B$8:$B$101,"Elixirs",Catalog!$N$8:$N$101,1),"",INDEX(Catalog!$A$8:$A$101,MATCH("Elixirs"&amp;(ROW()-8),Catalog!$O$8:$O$101,0)))</f>
        <v/>
      </c>
      <c r="F32" s="10" t="str">
        <f t="array" ref="F32">IF(ROW()-8&gt;COUNTIFS(Catalog!$B$8:$B$101,"Elixirs",Catalog!$N$8:$N$101,1),"",INDEX(Catalog!$C$8:$C$101,MATCH("Elixirs"&amp;(ROW()-8),Catalog!$O$8:$O$101,0)))</f>
        <v/>
      </c>
      <c r="G32" s="12" t="str">
        <f t="array" ref="G32">IF(ROW()-8&gt;COUNTIFS(Catalog!$B$8:$B$101,"Elixirs",Catalog!$N$8:$N$101,1),"",INDEX(Catalog!$D$8:$D$101,MATCH("Elixirs"&amp;(ROW()-8),Catalog!$O$8:$O$101,0)))</f>
        <v/>
      </c>
      <c r="H32" s="1"/>
      <c r="I32" s="10" t="str">
        <f t="array" ref="I32">IF(ROW()-8&gt;COUNTIFS(Catalog!$B$8:$B$101,"Food",Catalog!$N$8:$N$101,1),"",INDEX(Catalog!$A$8:$A$101,MATCH("Food"&amp;(ROW()-8),Catalog!$O$8:$O$101,0)))</f>
        <v/>
      </c>
      <c r="J32" s="10" t="str">
        <f t="array" ref="J32">IF(ROW()-8&gt;COUNTIFS(Catalog!$B$8:$B$101,"Food",Catalog!$N$8:$N$101,1),"",INDEX(Catalog!$C$8:$C$101,MATCH("Food"&amp;(ROW()-8),Catalog!$O$8:$O$101,0)))</f>
        <v/>
      </c>
      <c r="K32" s="12" t="str">
        <f t="array" ref="K32">IF(ROW()-8&gt;COUNTIFS(Catalog!$B$8:$B$101,"Food",Catalog!$N$8:$N$101,1),"",INDEX(Catalog!$D$8:$D$101,MATCH("Food"&amp;(ROW()-8),Catalog!$O$8:$O$101,0)))</f>
        <v/>
      </c>
    </row>
    <row r="33" ht="33.0" customHeight="1">
      <c r="A33" s="10" t="str">
        <f t="array" ref="A33">IF(ROW()-8&gt;COUNTIFS(Catalog!$B$8:$B$101,"Potions",Catalog!$N$8:$N$101,1),"",INDEX(Catalog!$A$8:$A$101,MATCH("Potions"&amp;(ROW()-8),Catalog!$O$8:$O$101,0)))</f>
        <v/>
      </c>
      <c r="B33" s="10" t="str">
        <f t="array" ref="B33">IF(ROW()-8&gt;COUNTIFS(Catalog!$B$8:$B$101,"Potions",Catalog!$N$8:$N$101,1),"",INDEX(Catalog!$C$8:$C$101,MATCH("Potions"&amp;(ROW()-8),Catalog!$O$8:$O$101,0)))</f>
        <v/>
      </c>
      <c r="C33" s="12" t="str">
        <f t="array" ref="C33">IF(ROW()-8&gt;COUNTIFS(Catalog!$B$8:$B$101,"Potions",Catalog!$N$8:$N$101,1),"",INDEX(Catalog!$D$8:$D$101,MATCH("Potions"&amp;(ROW()-8),Catalog!$O$8:$O$101,0)))</f>
        <v/>
      </c>
      <c r="D33" s="1"/>
      <c r="E33" s="10" t="str">
        <f t="array" ref="E33">IF(ROW()-8&gt;COUNTIFS(Catalog!$B$8:$B$101,"Elixirs",Catalog!$N$8:$N$101,1),"",INDEX(Catalog!$A$8:$A$101,MATCH("Elixirs"&amp;(ROW()-8),Catalog!$O$8:$O$101,0)))</f>
        <v/>
      </c>
      <c r="F33" s="10" t="str">
        <f t="array" ref="F33">IF(ROW()-8&gt;COUNTIFS(Catalog!$B$8:$B$101,"Elixirs",Catalog!$N$8:$N$101,1),"",INDEX(Catalog!$C$8:$C$101,MATCH("Elixirs"&amp;(ROW()-8),Catalog!$O$8:$O$101,0)))</f>
        <v/>
      </c>
      <c r="G33" s="12" t="str">
        <f t="array" ref="G33">IF(ROW()-8&gt;COUNTIFS(Catalog!$B$8:$B$101,"Elixirs",Catalog!$N$8:$N$101,1),"",INDEX(Catalog!$D$8:$D$101,MATCH("Elixirs"&amp;(ROW()-8),Catalog!$O$8:$O$101,0)))</f>
        <v/>
      </c>
      <c r="H33" s="1"/>
      <c r="I33" s="10" t="str">
        <f t="array" ref="I33">IF(ROW()-8&gt;COUNTIFS(Catalog!$B$8:$B$101,"Food",Catalog!$N$8:$N$101,1),"",INDEX(Catalog!$A$8:$A$101,MATCH("Food"&amp;(ROW()-8),Catalog!$O$8:$O$101,0)))</f>
        <v/>
      </c>
      <c r="J33" s="10" t="str">
        <f t="array" ref="J33">IF(ROW()-8&gt;COUNTIFS(Catalog!$B$8:$B$101,"Food",Catalog!$N$8:$N$101,1),"",INDEX(Catalog!$C$8:$C$101,MATCH("Food"&amp;(ROW()-8),Catalog!$O$8:$O$101,0)))</f>
        <v/>
      </c>
      <c r="K33" s="12" t="str">
        <f t="array" ref="K33">IF(ROW()-8&gt;COUNTIFS(Catalog!$B$8:$B$101,"Food",Catalog!$N$8:$N$101,1),"",INDEX(Catalog!$D$8:$D$101,MATCH("Food"&amp;(ROW()-8),Catalog!$O$8:$O$101,0)))</f>
        <v/>
      </c>
    </row>
    <row r="34" ht="33.0" customHeight="1">
      <c r="A34" s="10" t="str">
        <f t="array" ref="A34">IF(ROW()-8&gt;COUNTIFS(Catalog!$B$8:$B$101,"Potions",Catalog!$N$8:$N$101,1),"",INDEX(Catalog!$A$8:$A$101,MATCH("Potions"&amp;(ROW()-8),Catalog!$O$8:$O$101,0)))</f>
        <v/>
      </c>
      <c r="B34" s="10" t="str">
        <f t="array" ref="B34">IF(ROW()-8&gt;COUNTIFS(Catalog!$B$8:$B$101,"Potions",Catalog!$N$8:$N$101,1),"",INDEX(Catalog!$C$8:$C$101,MATCH("Potions"&amp;(ROW()-8),Catalog!$O$8:$O$101,0)))</f>
        <v/>
      </c>
      <c r="C34" s="12" t="str">
        <f t="array" ref="C34">IF(ROW()-8&gt;COUNTIFS(Catalog!$B$8:$B$101,"Potions",Catalog!$N$8:$N$101,1),"",INDEX(Catalog!$D$8:$D$101,MATCH("Potions"&amp;(ROW()-8),Catalog!$O$8:$O$101,0)))</f>
        <v/>
      </c>
      <c r="D34" s="1"/>
      <c r="E34" s="10" t="str">
        <f t="array" ref="E34">IF(ROW()-8&gt;COUNTIFS(Catalog!$B$8:$B$101,"Elixirs",Catalog!$N$8:$N$101,1),"",INDEX(Catalog!$A$8:$A$101,MATCH("Elixirs"&amp;(ROW()-8),Catalog!$O$8:$O$101,0)))</f>
        <v/>
      </c>
      <c r="F34" s="10" t="str">
        <f t="array" ref="F34">IF(ROW()-8&gt;COUNTIFS(Catalog!$B$8:$B$101,"Elixirs",Catalog!$N$8:$N$101,1),"",INDEX(Catalog!$C$8:$C$101,MATCH("Elixirs"&amp;(ROW()-8),Catalog!$O$8:$O$101,0)))</f>
        <v/>
      </c>
      <c r="G34" s="12" t="str">
        <f t="array" ref="G34">IF(ROW()-8&gt;COUNTIFS(Catalog!$B$8:$B$101,"Elixirs",Catalog!$N$8:$N$101,1),"",INDEX(Catalog!$D$8:$D$101,MATCH("Elixirs"&amp;(ROW()-8),Catalog!$O$8:$O$101,0)))</f>
        <v/>
      </c>
      <c r="H34" s="1"/>
      <c r="I34" s="10" t="str">
        <f t="array" ref="I34">IF(ROW()-8&gt;COUNTIFS(Catalog!$B$8:$B$101,"Food",Catalog!$N$8:$N$101,1),"",INDEX(Catalog!$A$8:$A$101,MATCH("Food"&amp;(ROW()-8),Catalog!$O$8:$O$101,0)))</f>
        <v/>
      </c>
      <c r="J34" s="10" t="str">
        <f t="array" ref="J34">IF(ROW()-8&gt;COUNTIFS(Catalog!$B$8:$B$101,"Food",Catalog!$N$8:$N$101,1),"",INDEX(Catalog!$C$8:$C$101,MATCH("Food"&amp;(ROW()-8),Catalog!$O$8:$O$101,0)))</f>
        <v/>
      </c>
      <c r="K34" s="12" t="str">
        <f t="array" ref="K34">IF(ROW()-8&gt;COUNTIFS(Catalog!$B$8:$B$101,"Food",Catalog!$N$8:$N$101,1),"",INDEX(Catalog!$D$8:$D$101,MATCH("Food"&amp;(ROW()-8),Catalog!$O$8:$O$101,0)))</f>
        <v/>
      </c>
    </row>
    <row r="35" ht="33.0" customHeight="1">
      <c r="A35" s="10" t="str">
        <f t="array" ref="A35">IF(ROW()-8&gt;COUNTIFS(Catalog!$B$8:$B$101,"Potions",Catalog!$N$8:$N$101,1),"",INDEX(Catalog!$A$8:$A$101,MATCH("Potions"&amp;(ROW()-8),Catalog!$O$8:$O$101,0)))</f>
        <v/>
      </c>
      <c r="B35" s="10" t="str">
        <f t="array" ref="B35">IF(ROW()-8&gt;COUNTIFS(Catalog!$B$8:$B$101,"Potions",Catalog!$N$8:$N$101,1),"",INDEX(Catalog!$C$8:$C$101,MATCH("Potions"&amp;(ROW()-8),Catalog!$O$8:$O$101,0)))</f>
        <v/>
      </c>
      <c r="C35" s="12" t="str">
        <f t="array" ref="C35">IF(ROW()-8&gt;COUNTIFS(Catalog!$B$8:$B$101,"Potions",Catalog!$N$8:$N$101,1),"",INDEX(Catalog!$D$8:$D$101,MATCH("Potions"&amp;(ROW()-8),Catalog!$O$8:$O$101,0)))</f>
        <v/>
      </c>
      <c r="D35" s="1"/>
      <c r="E35" s="10" t="str">
        <f t="array" ref="E35">IF(ROW()-8&gt;COUNTIFS(Catalog!$B$8:$B$101,"Elixirs",Catalog!$N$8:$N$101,1),"",INDEX(Catalog!$A$8:$A$101,MATCH("Elixirs"&amp;(ROW()-8),Catalog!$O$8:$O$101,0)))</f>
        <v/>
      </c>
      <c r="F35" s="10" t="str">
        <f t="array" ref="F35">IF(ROW()-8&gt;COUNTIFS(Catalog!$B$8:$B$101,"Elixirs",Catalog!$N$8:$N$101,1),"",INDEX(Catalog!$C$8:$C$101,MATCH("Elixirs"&amp;(ROW()-8),Catalog!$O$8:$O$101,0)))</f>
        <v/>
      </c>
      <c r="G35" s="12" t="str">
        <f t="array" ref="G35">IF(ROW()-8&gt;COUNTIFS(Catalog!$B$8:$B$101,"Elixirs",Catalog!$N$8:$N$101,1),"",INDEX(Catalog!$D$8:$D$101,MATCH("Elixirs"&amp;(ROW()-8),Catalog!$O$8:$O$101,0)))</f>
        <v/>
      </c>
      <c r="H35" s="1"/>
      <c r="I35" s="10" t="str">
        <f t="array" ref="I35">IF(ROW()-8&gt;COUNTIFS(Catalog!$B$8:$B$101,"Food",Catalog!$N$8:$N$101,1),"",INDEX(Catalog!$A$8:$A$101,MATCH("Food"&amp;(ROW()-8),Catalog!$O$8:$O$101,0)))</f>
        <v/>
      </c>
      <c r="J35" s="10" t="str">
        <f t="array" ref="J35">IF(ROW()-8&gt;COUNTIFS(Catalog!$B$8:$B$101,"Food",Catalog!$N$8:$N$101,1),"",INDEX(Catalog!$C$8:$C$101,MATCH("Food"&amp;(ROW()-8),Catalog!$O$8:$O$101,0)))</f>
        <v/>
      </c>
      <c r="K35" s="12" t="str">
        <f t="array" ref="K35">IF(ROW()-8&gt;COUNTIFS(Catalog!$B$8:$B$101,"Food",Catalog!$N$8:$N$101,1),"",INDEX(Catalog!$D$8:$D$101,MATCH("Food"&amp;(ROW()-8),Catalog!$O$8:$O$101,0)))</f>
        <v/>
      </c>
    </row>
    <row r="36" ht="33.0" customHeight="1">
      <c r="A36" s="10" t="str">
        <f t="array" ref="A36">IF(ROW()-8&gt;COUNTIFS(Catalog!$B$8:$B$101,"Potions",Catalog!$N$8:$N$101,1),"",INDEX(Catalog!$A$8:$A$101,MATCH("Potions"&amp;(ROW()-8),Catalog!$O$8:$O$101,0)))</f>
        <v/>
      </c>
      <c r="B36" s="10" t="str">
        <f t="array" ref="B36">IF(ROW()-8&gt;COUNTIFS(Catalog!$B$8:$B$101,"Potions",Catalog!$N$8:$N$101,1),"",INDEX(Catalog!$C$8:$C$101,MATCH("Potions"&amp;(ROW()-8),Catalog!$O$8:$O$101,0)))</f>
        <v/>
      </c>
      <c r="C36" s="12" t="str">
        <f t="array" ref="C36">IF(ROW()-8&gt;COUNTIFS(Catalog!$B$8:$B$101,"Potions",Catalog!$N$8:$N$101,1),"",INDEX(Catalog!$D$8:$D$101,MATCH("Potions"&amp;(ROW()-8),Catalog!$O$8:$O$101,0)))</f>
        <v/>
      </c>
      <c r="D36" s="1"/>
      <c r="E36" s="10" t="str">
        <f t="array" ref="E36">IF(ROW()-8&gt;COUNTIFS(Catalog!$B$8:$B$101,"Elixirs",Catalog!$N$8:$N$101,1),"",INDEX(Catalog!$A$8:$A$101,MATCH("Elixirs"&amp;(ROW()-8),Catalog!$O$8:$O$101,0)))</f>
        <v/>
      </c>
      <c r="F36" s="10" t="str">
        <f t="array" ref="F36">IF(ROW()-8&gt;COUNTIFS(Catalog!$B$8:$B$101,"Elixirs",Catalog!$N$8:$N$101,1),"",INDEX(Catalog!$C$8:$C$101,MATCH("Elixirs"&amp;(ROW()-8),Catalog!$O$8:$O$101,0)))</f>
        <v/>
      </c>
      <c r="G36" s="12" t="str">
        <f t="array" ref="G36">IF(ROW()-8&gt;COUNTIFS(Catalog!$B$8:$B$101,"Elixirs",Catalog!$N$8:$N$101,1),"",INDEX(Catalog!$D$8:$D$101,MATCH("Elixirs"&amp;(ROW()-8),Catalog!$O$8:$O$101,0)))</f>
        <v/>
      </c>
      <c r="H36" s="1"/>
      <c r="I36" s="10" t="str">
        <f t="array" ref="I36">IF(ROW()-8&gt;COUNTIFS(Catalog!$B$8:$B$101,"Food",Catalog!$N$8:$N$101,1),"",INDEX(Catalog!$A$8:$A$101,MATCH("Food"&amp;(ROW()-8),Catalog!$O$8:$O$101,0)))</f>
        <v/>
      </c>
      <c r="J36" s="10" t="str">
        <f t="array" ref="J36">IF(ROW()-8&gt;COUNTIFS(Catalog!$B$8:$B$101,"Food",Catalog!$N$8:$N$101,1),"",INDEX(Catalog!$C$8:$C$101,MATCH("Food"&amp;(ROW()-8),Catalog!$O$8:$O$101,0)))</f>
        <v/>
      </c>
      <c r="K36" s="12" t="str">
        <f t="array" ref="K36">IF(ROW()-8&gt;COUNTIFS(Catalog!$B$8:$B$101,"Food",Catalog!$N$8:$N$101,1),"",INDEX(Catalog!$D$8:$D$101,MATCH("Food"&amp;(ROW()-8),Catalog!$O$8:$O$101,0)))</f>
        <v/>
      </c>
    </row>
    <row r="37" ht="33.0" customHeight="1">
      <c r="A37" s="10" t="str">
        <f t="array" ref="A37">IF(ROW()-8&gt;COUNTIFS(Catalog!$B$8:$B$101,"Potions",Catalog!$N$8:$N$101,1),"",INDEX(Catalog!$A$8:$A$101,MATCH("Potions"&amp;(ROW()-8),Catalog!$O$8:$O$101,0)))</f>
        <v/>
      </c>
      <c r="B37" s="10" t="str">
        <f t="array" ref="B37">IF(ROW()-8&gt;COUNTIFS(Catalog!$B$8:$B$101,"Potions",Catalog!$N$8:$N$101,1),"",INDEX(Catalog!$C$8:$C$101,MATCH("Potions"&amp;(ROW()-8),Catalog!$O$8:$O$101,0)))</f>
        <v/>
      </c>
      <c r="C37" s="12" t="str">
        <f t="array" ref="C37">IF(ROW()-8&gt;COUNTIFS(Catalog!$B$8:$B$101,"Potions",Catalog!$N$8:$N$101,1),"",INDEX(Catalog!$D$8:$D$101,MATCH("Potions"&amp;(ROW()-8),Catalog!$O$8:$O$101,0)))</f>
        <v/>
      </c>
      <c r="D37" s="1"/>
      <c r="E37" s="10" t="str">
        <f t="array" ref="E37">IF(ROW()-8&gt;COUNTIFS(Catalog!$B$8:$B$101,"Elixirs",Catalog!$N$8:$N$101,1),"",INDEX(Catalog!$A$8:$A$101,MATCH("Elixirs"&amp;(ROW()-8),Catalog!$O$8:$O$101,0)))</f>
        <v/>
      </c>
      <c r="F37" s="10" t="str">
        <f t="array" ref="F37">IF(ROW()-8&gt;COUNTIFS(Catalog!$B$8:$B$101,"Elixirs",Catalog!$N$8:$N$101,1),"",INDEX(Catalog!$C$8:$C$101,MATCH("Elixirs"&amp;(ROW()-8),Catalog!$O$8:$O$101,0)))</f>
        <v/>
      </c>
      <c r="G37" s="12" t="str">
        <f t="array" ref="G37">IF(ROW()-8&gt;COUNTIFS(Catalog!$B$8:$B$101,"Elixirs",Catalog!$N$8:$N$101,1),"",INDEX(Catalog!$D$8:$D$101,MATCH("Elixirs"&amp;(ROW()-8),Catalog!$O$8:$O$101,0)))</f>
        <v/>
      </c>
      <c r="H37" s="1"/>
      <c r="I37" s="10" t="str">
        <f t="array" ref="I37">IF(ROW()-8&gt;COUNTIFS(Catalog!$B$8:$B$101,"Food",Catalog!$N$8:$N$101,1),"",INDEX(Catalog!$A$8:$A$101,MATCH("Food"&amp;(ROW()-8),Catalog!$O$8:$O$101,0)))</f>
        <v/>
      </c>
      <c r="J37" s="10" t="str">
        <f t="array" ref="J37">IF(ROW()-8&gt;COUNTIFS(Catalog!$B$8:$B$101,"Food",Catalog!$N$8:$N$101,1),"",INDEX(Catalog!$C$8:$C$101,MATCH("Food"&amp;(ROW()-8),Catalog!$O$8:$O$101,0)))</f>
        <v/>
      </c>
      <c r="K37" s="12" t="str">
        <f t="array" ref="K37">IF(ROW()-8&gt;COUNTIFS(Catalog!$B$8:$B$101,"Food",Catalog!$N$8:$N$101,1),"",INDEX(Catalog!$D$8:$D$101,MATCH("Food"&amp;(ROW()-8),Catalog!$O$8:$O$101,0)))</f>
        <v/>
      </c>
    </row>
    <row r="38" ht="33.0" customHeight="1">
      <c r="A38" s="10" t="str">
        <f t="array" ref="A38">IF(ROW()-8&gt;COUNTIFS(Catalog!$B$8:$B$101,"Potions",Catalog!$N$8:$N$101,1),"",INDEX(Catalog!$A$8:$A$101,MATCH("Potions"&amp;(ROW()-8),Catalog!$O$8:$O$101,0)))</f>
        <v/>
      </c>
      <c r="B38" s="10" t="str">
        <f t="array" ref="B38">IF(ROW()-8&gt;COUNTIFS(Catalog!$B$8:$B$101,"Potions",Catalog!$N$8:$N$101,1),"",INDEX(Catalog!$C$8:$C$101,MATCH("Potions"&amp;(ROW()-8),Catalog!$O$8:$O$101,0)))</f>
        <v/>
      </c>
      <c r="C38" s="12" t="str">
        <f t="array" ref="C38">IF(ROW()-8&gt;COUNTIFS(Catalog!$B$8:$B$101,"Potions",Catalog!$N$8:$N$101,1),"",INDEX(Catalog!$D$8:$D$101,MATCH("Potions"&amp;(ROW()-8),Catalog!$O$8:$O$101,0)))</f>
        <v/>
      </c>
      <c r="D38" s="1"/>
      <c r="E38" s="10" t="str">
        <f t="array" ref="E38">IF(ROW()-8&gt;COUNTIFS(Catalog!$B$8:$B$101,"Elixirs",Catalog!$N$8:$N$101,1),"",INDEX(Catalog!$A$8:$A$101,MATCH("Elixirs"&amp;(ROW()-8),Catalog!$O$8:$O$101,0)))</f>
        <v/>
      </c>
      <c r="F38" s="10" t="str">
        <f t="array" ref="F38">IF(ROW()-8&gt;COUNTIFS(Catalog!$B$8:$B$101,"Elixirs",Catalog!$N$8:$N$101,1),"",INDEX(Catalog!$C$8:$C$101,MATCH("Elixirs"&amp;(ROW()-8),Catalog!$O$8:$O$101,0)))</f>
        <v/>
      </c>
      <c r="G38" s="12" t="str">
        <f t="array" ref="G38">IF(ROW()-8&gt;COUNTIFS(Catalog!$B$8:$B$101,"Elixirs",Catalog!$N$8:$N$101,1),"",INDEX(Catalog!$D$8:$D$101,MATCH("Elixirs"&amp;(ROW()-8),Catalog!$O$8:$O$101,0)))</f>
        <v/>
      </c>
      <c r="H38" s="1"/>
      <c r="I38" s="10" t="str">
        <f t="array" ref="I38">IF(ROW()-8&gt;COUNTIFS(Catalog!$B$8:$B$101,"Food",Catalog!$N$8:$N$101,1),"",INDEX(Catalog!$A$8:$A$101,MATCH("Food"&amp;(ROW()-8),Catalog!$O$8:$O$101,0)))</f>
        <v/>
      </c>
      <c r="J38" s="10" t="str">
        <f t="array" ref="J38">IF(ROW()-8&gt;COUNTIFS(Catalog!$B$8:$B$101,"Food",Catalog!$N$8:$N$101,1),"",INDEX(Catalog!$C$8:$C$101,MATCH("Food"&amp;(ROW()-8),Catalog!$O$8:$O$101,0)))</f>
        <v/>
      </c>
      <c r="K38" s="12" t="str">
        <f t="array" ref="K38">IF(ROW()-8&gt;COUNTIFS(Catalog!$B$8:$B$101,"Food",Catalog!$N$8:$N$101,1),"",INDEX(Catalog!$D$8:$D$101,MATCH("Food"&amp;(ROW()-8),Catalog!$O$8:$O$101,0)))</f>
        <v/>
      </c>
    </row>
    <row r="39" ht="33.0" customHeight="1">
      <c r="A39" s="10" t="str">
        <f t="array" ref="A39">IF(ROW()-8&gt;COUNTIFS(Catalog!$B$8:$B$101,"Potions",Catalog!$N$8:$N$101,1),"",INDEX(Catalog!$A$8:$A$101,MATCH("Potions"&amp;(ROW()-8),Catalog!$O$8:$O$101,0)))</f>
        <v/>
      </c>
      <c r="B39" s="10" t="str">
        <f t="array" ref="B39">IF(ROW()-8&gt;COUNTIFS(Catalog!$B$8:$B$101,"Potions",Catalog!$N$8:$N$101,1),"",INDEX(Catalog!$C$8:$C$101,MATCH("Potions"&amp;(ROW()-8),Catalog!$O$8:$O$101,0)))</f>
        <v/>
      </c>
      <c r="C39" s="12" t="str">
        <f t="array" ref="C39">IF(ROW()-8&gt;COUNTIFS(Catalog!$B$8:$B$101,"Potions",Catalog!$N$8:$N$101,1),"",INDEX(Catalog!$D$8:$D$101,MATCH("Potions"&amp;(ROW()-8),Catalog!$O$8:$O$101,0)))</f>
        <v/>
      </c>
      <c r="D39" s="1"/>
      <c r="E39" s="10" t="str">
        <f t="array" ref="E39">IF(ROW()-8&gt;COUNTIFS(Catalog!$B$8:$B$101,"Elixirs",Catalog!$N$8:$N$101,1),"",INDEX(Catalog!$A$8:$A$101,MATCH("Elixirs"&amp;(ROW()-8),Catalog!$O$8:$O$101,0)))</f>
        <v/>
      </c>
      <c r="F39" s="10" t="str">
        <f t="array" ref="F39">IF(ROW()-8&gt;COUNTIFS(Catalog!$B$8:$B$101,"Elixirs",Catalog!$N$8:$N$101,1),"",INDEX(Catalog!$C$8:$C$101,MATCH("Elixirs"&amp;(ROW()-8),Catalog!$O$8:$O$101,0)))</f>
        <v/>
      </c>
      <c r="G39" s="12" t="str">
        <f t="array" ref="G39">IF(ROW()-8&gt;COUNTIFS(Catalog!$B$8:$B$101,"Elixirs",Catalog!$N$8:$N$101,1),"",INDEX(Catalog!$D$8:$D$101,MATCH("Elixirs"&amp;(ROW()-8),Catalog!$O$8:$O$101,0)))</f>
        <v/>
      </c>
      <c r="H39" s="1"/>
      <c r="I39" s="10" t="str">
        <f t="array" ref="I39">IF(ROW()-8&gt;COUNTIFS(Catalog!$B$8:$B$101,"Food",Catalog!$N$8:$N$101,1),"",INDEX(Catalog!$A$8:$A$101,MATCH("Food"&amp;(ROW()-8),Catalog!$O$8:$O$101,0)))</f>
        <v/>
      </c>
      <c r="J39" s="10" t="str">
        <f t="array" ref="J39">IF(ROW()-8&gt;COUNTIFS(Catalog!$B$8:$B$101,"Food",Catalog!$N$8:$N$101,1),"",INDEX(Catalog!$C$8:$C$101,MATCH("Food"&amp;(ROW()-8),Catalog!$O$8:$O$101,0)))</f>
        <v/>
      </c>
      <c r="K39" s="12" t="str">
        <f t="array" ref="K39">IF(ROW()-8&gt;COUNTIFS(Catalog!$B$8:$B$101,"Food",Catalog!$N$8:$N$101,1),"",INDEX(Catalog!$D$8:$D$101,MATCH("Food"&amp;(ROW()-8),Catalog!$O$8:$O$101,0)))</f>
        <v/>
      </c>
    </row>
    <row r="40" ht="33.0" customHeight="1">
      <c r="A40" s="10" t="str">
        <f t="array" ref="A40">IF(ROW()-8&gt;COUNTIFS(Catalog!$B$8:$B$101,"Potions",Catalog!$N$8:$N$101,1),"",INDEX(Catalog!$A$8:$A$101,MATCH("Potions"&amp;(ROW()-8),Catalog!$O$8:$O$101,0)))</f>
        <v/>
      </c>
      <c r="B40" s="10" t="str">
        <f t="array" ref="B40">IF(ROW()-8&gt;COUNTIFS(Catalog!$B$8:$B$101,"Potions",Catalog!$N$8:$N$101,1),"",INDEX(Catalog!$C$8:$C$101,MATCH("Potions"&amp;(ROW()-8),Catalog!$O$8:$O$101,0)))</f>
        <v/>
      </c>
      <c r="C40" s="12" t="str">
        <f t="array" ref="C40">IF(ROW()-8&gt;COUNTIFS(Catalog!$B$8:$B$101,"Potions",Catalog!$N$8:$N$101,1),"",INDEX(Catalog!$D$8:$D$101,MATCH("Potions"&amp;(ROW()-8),Catalog!$O$8:$O$101,0)))</f>
        <v/>
      </c>
      <c r="D40" s="1"/>
      <c r="E40" s="10" t="str">
        <f t="array" ref="E40">IF(ROW()-8&gt;COUNTIFS(Catalog!$B$8:$B$101,"Elixirs",Catalog!$N$8:$N$101,1),"",INDEX(Catalog!$A$8:$A$101,MATCH("Elixirs"&amp;(ROW()-8),Catalog!$O$8:$O$101,0)))</f>
        <v/>
      </c>
      <c r="F40" s="10" t="str">
        <f t="array" ref="F40">IF(ROW()-8&gt;COUNTIFS(Catalog!$B$8:$B$101,"Elixirs",Catalog!$N$8:$N$101,1),"",INDEX(Catalog!$C$8:$C$101,MATCH("Elixirs"&amp;(ROW()-8),Catalog!$O$8:$O$101,0)))</f>
        <v/>
      </c>
      <c r="G40" s="12" t="str">
        <f t="array" ref="G40">IF(ROW()-8&gt;COUNTIFS(Catalog!$B$8:$B$101,"Elixirs",Catalog!$N$8:$N$101,1),"",INDEX(Catalog!$D$8:$D$101,MATCH("Elixirs"&amp;(ROW()-8),Catalog!$O$8:$O$101,0)))</f>
        <v/>
      </c>
      <c r="H40" s="1"/>
      <c r="I40" s="10" t="str">
        <f t="array" ref="I40">IF(ROW()-8&gt;COUNTIFS(Catalog!$B$8:$B$101,"Food",Catalog!$N$8:$N$101,1),"",INDEX(Catalog!$A$8:$A$101,MATCH("Food"&amp;(ROW()-8),Catalog!$O$8:$O$101,0)))</f>
        <v/>
      </c>
      <c r="J40" s="10" t="str">
        <f t="array" ref="J40">IF(ROW()-8&gt;COUNTIFS(Catalog!$B$8:$B$101,"Food",Catalog!$N$8:$N$101,1),"",INDEX(Catalog!$C$8:$C$101,MATCH("Food"&amp;(ROW()-8),Catalog!$O$8:$O$101,0)))</f>
        <v/>
      </c>
      <c r="K40" s="12" t="str">
        <f t="array" ref="K40">IF(ROW()-8&gt;COUNTIFS(Catalog!$B$8:$B$101,"Food",Catalog!$N$8:$N$101,1),"",INDEX(Catalog!$D$8:$D$101,MATCH("Food"&amp;(ROW()-8),Catalog!$O$8:$O$101,0)))</f>
        <v/>
      </c>
    </row>
    <row r="41" ht="33.0" customHeight="1">
      <c r="A41" s="10" t="str">
        <f t="array" ref="A41">IF(ROW()-8&gt;COUNTIFS(Catalog!$B$8:$B$101,"Potions",Catalog!$N$8:$N$101,1),"",INDEX(Catalog!$A$8:$A$101,MATCH("Potions"&amp;(ROW()-8),Catalog!$O$8:$O$101,0)))</f>
        <v/>
      </c>
      <c r="B41" s="10" t="str">
        <f t="array" ref="B41">IF(ROW()-8&gt;COUNTIFS(Catalog!$B$8:$B$101,"Potions",Catalog!$N$8:$N$101,1),"",INDEX(Catalog!$C$8:$C$101,MATCH("Potions"&amp;(ROW()-8),Catalog!$O$8:$O$101,0)))</f>
        <v/>
      </c>
      <c r="C41" s="12" t="str">
        <f t="array" ref="C41">IF(ROW()-8&gt;COUNTIFS(Catalog!$B$8:$B$101,"Potions",Catalog!$N$8:$N$101,1),"",INDEX(Catalog!$D$8:$D$101,MATCH("Potions"&amp;(ROW()-8),Catalog!$O$8:$O$101,0)))</f>
        <v/>
      </c>
      <c r="D41" s="1"/>
      <c r="E41" s="10" t="str">
        <f t="array" ref="E41">IF(ROW()-8&gt;COUNTIFS(Catalog!$B$8:$B$101,"Elixirs",Catalog!$N$8:$N$101,1),"",INDEX(Catalog!$A$8:$A$101,MATCH("Elixirs"&amp;(ROW()-8),Catalog!$O$8:$O$101,0)))</f>
        <v/>
      </c>
      <c r="F41" s="10" t="str">
        <f t="array" ref="F41">IF(ROW()-8&gt;COUNTIFS(Catalog!$B$8:$B$101,"Elixirs",Catalog!$N$8:$N$101,1),"",INDEX(Catalog!$C$8:$C$101,MATCH("Elixirs"&amp;(ROW()-8),Catalog!$O$8:$O$101,0)))</f>
        <v/>
      </c>
      <c r="G41" s="12" t="str">
        <f t="array" ref="G41">IF(ROW()-8&gt;COUNTIFS(Catalog!$B$8:$B$101,"Elixirs",Catalog!$N$8:$N$101,1),"",INDEX(Catalog!$D$8:$D$101,MATCH("Elixirs"&amp;(ROW()-8),Catalog!$O$8:$O$101,0)))</f>
        <v/>
      </c>
      <c r="H41" s="1"/>
      <c r="I41" s="10" t="str">
        <f t="array" ref="I41">IF(ROW()-8&gt;COUNTIFS(Catalog!$B$8:$B$101,"Food",Catalog!$N$8:$N$101,1),"",INDEX(Catalog!$A$8:$A$101,MATCH("Food"&amp;(ROW()-8),Catalog!$O$8:$O$101,0)))</f>
        <v/>
      </c>
      <c r="J41" s="10" t="str">
        <f t="array" ref="J41">IF(ROW()-8&gt;COUNTIFS(Catalog!$B$8:$B$101,"Food",Catalog!$N$8:$N$101,1),"",INDEX(Catalog!$C$8:$C$101,MATCH("Food"&amp;(ROW()-8),Catalog!$O$8:$O$101,0)))</f>
        <v/>
      </c>
      <c r="K41" s="12" t="str">
        <f t="array" ref="K41">IF(ROW()-8&gt;COUNTIFS(Catalog!$B$8:$B$101,"Food",Catalog!$N$8:$N$101,1),"",INDEX(Catalog!$D$8:$D$101,MATCH("Food"&amp;(ROW()-8),Catalog!$O$8:$O$101,0)))</f>
        <v/>
      </c>
    </row>
    <row r="42" ht="33.0" customHeight="1">
      <c r="A42" s="10" t="str">
        <f t="array" ref="A42">IF(ROW()-8&gt;COUNTIFS(Catalog!$B$8:$B$101,"Potions",Catalog!$N$8:$N$101,1),"",INDEX(Catalog!$A$8:$A$101,MATCH("Potions"&amp;(ROW()-8),Catalog!$O$8:$O$101,0)))</f>
        <v/>
      </c>
      <c r="B42" s="10" t="str">
        <f t="array" ref="B42">IF(ROW()-8&gt;COUNTIFS(Catalog!$B$8:$B$101,"Potions",Catalog!$N$8:$N$101,1),"",INDEX(Catalog!$C$8:$C$101,MATCH("Potions"&amp;(ROW()-8),Catalog!$O$8:$O$101,0)))</f>
        <v/>
      </c>
      <c r="C42" s="12" t="str">
        <f t="array" ref="C42">IF(ROW()-8&gt;COUNTIFS(Catalog!$B$8:$B$101,"Potions",Catalog!$N$8:$N$101,1),"",INDEX(Catalog!$D$8:$D$101,MATCH("Potions"&amp;(ROW()-8),Catalog!$O$8:$O$101,0)))</f>
        <v/>
      </c>
      <c r="D42" s="1"/>
      <c r="E42" s="10" t="str">
        <f t="array" ref="E42">IF(ROW()-8&gt;COUNTIFS(Catalog!$B$8:$B$101,"Elixirs",Catalog!$N$8:$N$101,1),"",INDEX(Catalog!$A$8:$A$101,MATCH("Elixirs"&amp;(ROW()-8),Catalog!$O$8:$O$101,0)))</f>
        <v/>
      </c>
      <c r="F42" s="10" t="str">
        <f t="array" ref="F42">IF(ROW()-8&gt;COUNTIFS(Catalog!$B$8:$B$101,"Elixirs",Catalog!$N$8:$N$101,1),"",INDEX(Catalog!$C$8:$C$101,MATCH("Elixirs"&amp;(ROW()-8),Catalog!$O$8:$O$101,0)))</f>
        <v/>
      </c>
      <c r="G42" s="12" t="str">
        <f t="array" ref="G42">IF(ROW()-8&gt;COUNTIFS(Catalog!$B$8:$B$101,"Elixirs",Catalog!$N$8:$N$101,1),"",INDEX(Catalog!$D$8:$D$101,MATCH("Elixirs"&amp;(ROW()-8),Catalog!$O$8:$O$101,0)))</f>
        <v/>
      </c>
      <c r="H42" s="1"/>
      <c r="I42" s="10" t="str">
        <f t="array" ref="I42">IF(ROW()-8&gt;COUNTIFS(Catalog!$B$8:$B$101,"Food",Catalog!$N$8:$N$101,1),"",INDEX(Catalog!$A$8:$A$101,MATCH("Food"&amp;(ROW()-8),Catalog!$O$8:$O$101,0)))</f>
        <v/>
      </c>
      <c r="J42" s="10" t="str">
        <f t="array" ref="J42">IF(ROW()-8&gt;COUNTIFS(Catalog!$B$8:$B$101,"Food",Catalog!$N$8:$N$101,1),"",INDEX(Catalog!$C$8:$C$101,MATCH("Food"&amp;(ROW()-8),Catalog!$O$8:$O$101,0)))</f>
        <v/>
      </c>
      <c r="K42" s="12" t="str">
        <f t="array" ref="K42">IF(ROW()-8&gt;COUNTIFS(Catalog!$B$8:$B$101,"Food",Catalog!$N$8:$N$101,1),"",INDEX(Catalog!$D$8:$D$101,MATCH("Food"&amp;(ROW()-8),Catalog!$O$8:$O$101,0)))</f>
        <v/>
      </c>
    </row>
    <row r="43" ht="33.0" customHeight="1">
      <c r="A43" s="10" t="str">
        <f t="array" ref="A43">IF(ROW()-8&gt;COUNTIFS(Catalog!$B$8:$B$101,"Potions",Catalog!$N$8:$N$101,1),"",INDEX(Catalog!$A$8:$A$101,MATCH("Potions"&amp;(ROW()-8),Catalog!$O$8:$O$101,0)))</f>
        <v/>
      </c>
      <c r="B43" s="10" t="str">
        <f t="array" ref="B43">IF(ROW()-8&gt;COUNTIFS(Catalog!$B$8:$B$101,"Potions",Catalog!$N$8:$N$101,1),"",INDEX(Catalog!$C$8:$C$101,MATCH("Potions"&amp;(ROW()-8),Catalog!$O$8:$O$101,0)))</f>
        <v/>
      </c>
      <c r="C43" s="12" t="str">
        <f t="array" ref="C43">IF(ROW()-8&gt;COUNTIFS(Catalog!$B$8:$B$101,"Potions",Catalog!$N$8:$N$101,1),"",INDEX(Catalog!$D$8:$D$101,MATCH("Potions"&amp;(ROW()-8),Catalog!$O$8:$O$101,0)))</f>
        <v/>
      </c>
      <c r="D43" s="1"/>
      <c r="E43" s="10" t="str">
        <f t="array" ref="E43">IF(ROW()-8&gt;COUNTIFS(Catalog!$B$8:$B$101,"Elixirs",Catalog!$N$8:$N$101,1),"",INDEX(Catalog!$A$8:$A$101,MATCH("Elixirs"&amp;(ROW()-8),Catalog!$O$8:$O$101,0)))</f>
        <v/>
      </c>
      <c r="F43" s="10" t="str">
        <f t="array" ref="F43">IF(ROW()-8&gt;COUNTIFS(Catalog!$B$8:$B$101,"Elixirs",Catalog!$N$8:$N$101,1),"",INDEX(Catalog!$C$8:$C$101,MATCH("Elixirs"&amp;(ROW()-8),Catalog!$O$8:$O$101,0)))</f>
        <v/>
      </c>
      <c r="G43" s="12" t="str">
        <f t="array" ref="G43">IF(ROW()-8&gt;COUNTIFS(Catalog!$B$8:$B$101,"Elixirs",Catalog!$N$8:$N$101,1),"",INDEX(Catalog!$D$8:$D$101,MATCH("Elixirs"&amp;(ROW()-8),Catalog!$O$8:$O$101,0)))</f>
        <v/>
      </c>
      <c r="H43" s="1"/>
      <c r="I43" s="10" t="str">
        <f t="array" ref="I43">IF(ROW()-8&gt;COUNTIFS(Catalog!$B$8:$B$101,"Food",Catalog!$N$8:$N$101,1),"",INDEX(Catalog!$A$8:$A$101,MATCH("Food"&amp;(ROW()-8),Catalog!$O$8:$O$101,0)))</f>
        <v/>
      </c>
      <c r="J43" s="10" t="str">
        <f t="array" ref="J43">IF(ROW()-8&gt;COUNTIFS(Catalog!$B$8:$B$101,"Food",Catalog!$N$8:$N$101,1),"",INDEX(Catalog!$C$8:$C$101,MATCH("Food"&amp;(ROW()-8),Catalog!$O$8:$O$101,0)))</f>
        <v/>
      </c>
      <c r="K43" s="12" t="str">
        <f t="array" ref="K43">IF(ROW()-8&gt;COUNTIFS(Catalog!$B$8:$B$101,"Food",Catalog!$N$8:$N$101,1),"",INDEX(Catalog!$D$8:$D$101,MATCH("Food"&amp;(ROW()-8),Catalog!$O$8:$O$101,0)))</f>
        <v/>
      </c>
    </row>
    <row r="44" ht="33.0" customHeight="1">
      <c r="A44" s="10" t="str">
        <f t="array" ref="A44">IF(ROW()-8&gt;COUNTIFS(Catalog!$B$8:$B$101,"Potions",Catalog!$N$8:$N$101,1),"",INDEX(Catalog!$A$8:$A$101,MATCH("Potions"&amp;(ROW()-8),Catalog!$O$8:$O$101,0)))</f>
        <v/>
      </c>
      <c r="B44" s="10" t="str">
        <f t="array" ref="B44">IF(ROW()-8&gt;COUNTIFS(Catalog!$B$8:$B$101,"Potions",Catalog!$N$8:$N$101,1),"",INDEX(Catalog!$C$8:$C$101,MATCH("Potions"&amp;(ROW()-8),Catalog!$O$8:$O$101,0)))</f>
        <v/>
      </c>
      <c r="C44" s="12" t="str">
        <f t="array" ref="C44">IF(ROW()-8&gt;COUNTIFS(Catalog!$B$8:$B$101,"Potions",Catalog!$N$8:$N$101,1),"",INDEX(Catalog!$D$8:$D$101,MATCH("Potions"&amp;(ROW()-8),Catalog!$O$8:$O$101,0)))</f>
        <v/>
      </c>
      <c r="D44" s="1"/>
      <c r="E44" s="10" t="str">
        <f t="array" ref="E44">IF(ROW()-8&gt;COUNTIFS(Catalog!$B$8:$B$101,"Elixirs",Catalog!$N$8:$N$101,1),"",INDEX(Catalog!$A$8:$A$101,MATCH("Elixirs"&amp;(ROW()-8),Catalog!$O$8:$O$101,0)))</f>
        <v/>
      </c>
      <c r="F44" s="10" t="str">
        <f t="array" ref="F44">IF(ROW()-8&gt;COUNTIFS(Catalog!$B$8:$B$101,"Elixirs",Catalog!$N$8:$N$101,1),"",INDEX(Catalog!$C$8:$C$101,MATCH("Elixirs"&amp;(ROW()-8),Catalog!$O$8:$O$101,0)))</f>
        <v/>
      </c>
      <c r="G44" s="12" t="str">
        <f t="array" ref="G44">IF(ROW()-8&gt;COUNTIFS(Catalog!$B$8:$B$101,"Elixirs",Catalog!$N$8:$N$101,1),"",INDEX(Catalog!$D$8:$D$101,MATCH("Elixirs"&amp;(ROW()-8),Catalog!$O$8:$O$101,0)))</f>
        <v/>
      </c>
      <c r="H44" s="1"/>
      <c r="I44" s="10" t="str">
        <f t="array" ref="I44">IF(ROW()-8&gt;COUNTIFS(Catalog!$B$8:$B$101,"Food",Catalog!$N$8:$N$101,1),"",INDEX(Catalog!$A$8:$A$101,MATCH("Food"&amp;(ROW()-8),Catalog!$O$8:$O$101,0)))</f>
        <v/>
      </c>
      <c r="J44" s="10" t="str">
        <f t="array" ref="J44">IF(ROW()-8&gt;COUNTIFS(Catalog!$B$8:$B$101,"Food",Catalog!$N$8:$N$101,1),"",INDEX(Catalog!$C$8:$C$101,MATCH("Food"&amp;(ROW()-8),Catalog!$O$8:$O$101,0)))</f>
        <v/>
      </c>
      <c r="K44" s="12" t="str">
        <f t="array" ref="K44">IF(ROW()-8&gt;COUNTIFS(Catalog!$B$8:$B$101,"Food",Catalog!$N$8:$N$101,1),"",INDEX(Catalog!$D$8:$D$101,MATCH("Food"&amp;(ROW()-8),Catalog!$O$8:$O$101,0)))</f>
        <v/>
      </c>
    </row>
    <row r="45" ht="33.0" customHeight="1">
      <c r="A45" s="10" t="str">
        <f t="array" ref="A45">IF(ROW()-8&gt;COUNTIFS(Catalog!$B$8:$B$101,"Potions",Catalog!$N$8:$N$101,1),"",INDEX(Catalog!$A$8:$A$101,MATCH("Potions"&amp;(ROW()-8),Catalog!$O$8:$O$101,0)))</f>
        <v/>
      </c>
      <c r="B45" s="10" t="str">
        <f t="array" ref="B45">IF(ROW()-8&gt;COUNTIFS(Catalog!$B$8:$B$101,"Potions",Catalog!$N$8:$N$101,1),"",INDEX(Catalog!$C$8:$C$101,MATCH("Potions"&amp;(ROW()-8),Catalog!$O$8:$O$101,0)))</f>
        <v/>
      </c>
      <c r="C45" s="12" t="str">
        <f t="array" ref="C45">IF(ROW()-8&gt;COUNTIFS(Catalog!$B$8:$B$101,"Potions",Catalog!$N$8:$N$101,1),"",INDEX(Catalog!$D$8:$D$101,MATCH("Potions"&amp;(ROW()-8),Catalog!$O$8:$O$101,0)))</f>
        <v/>
      </c>
      <c r="D45" s="1"/>
      <c r="E45" s="10" t="str">
        <f t="array" ref="E45">IF(ROW()-8&gt;COUNTIFS(Catalog!$B$8:$B$101,"Elixirs",Catalog!$N$8:$N$101,1),"",INDEX(Catalog!$A$8:$A$101,MATCH("Elixirs"&amp;(ROW()-8),Catalog!$O$8:$O$101,0)))</f>
        <v/>
      </c>
      <c r="F45" s="10" t="str">
        <f t="array" ref="F45">IF(ROW()-8&gt;COUNTIFS(Catalog!$B$8:$B$101,"Elixirs",Catalog!$N$8:$N$101,1),"",INDEX(Catalog!$C$8:$C$101,MATCH("Elixirs"&amp;(ROW()-8),Catalog!$O$8:$O$101,0)))</f>
        <v/>
      </c>
      <c r="G45" s="12" t="str">
        <f t="array" ref="G45">IF(ROW()-8&gt;COUNTIFS(Catalog!$B$8:$B$101,"Elixirs",Catalog!$N$8:$N$101,1),"",INDEX(Catalog!$D$8:$D$101,MATCH("Elixirs"&amp;(ROW()-8),Catalog!$O$8:$O$101,0)))</f>
        <v/>
      </c>
      <c r="H45" s="1"/>
      <c r="I45" s="10" t="str">
        <f t="array" ref="I45">IF(ROW()-8&gt;COUNTIFS(Catalog!$B$8:$B$101,"Food",Catalog!$N$8:$N$101,1),"",INDEX(Catalog!$A$8:$A$101,MATCH("Food"&amp;(ROW()-8),Catalog!$O$8:$O$101,0)))</f>
        <v/>
      </c>
      <c r="J45" s="10" t="str">
        <f t="array" ref="J45">IF(ROW()-8&gt;COUNTIFS(Catalog!$B$8:$B$101,"Food",Catalog!$N$8:$N$101,1),"",INDEX(Catalog!$C$8:$C$101,MATCH("Food"&amp;(ROW()-8),Catalog!$O$8:$O$101,0)))</f>
        <v/>
      </c>
      <c r="K45" s="12" t="str">
        <f t="array" ref="K45">IF(ROW()-8&gt;COUNTIFS(Catalog!$B$8:$B$101,"Food",Catalog!$N$8:$N$101,1),"",INDEX(Catalog!$D$8:$D$101,MATCH("Food"&amp;(ROW()-8),Catalog!$O$8:$O$101,0)))</f>
        <v/>
      </c>
    </row>
    <row r="46" ht="33.0" customHeight="1">
      <c r="A46" s="10" t="str">
        <f t="array" ref="A46">IF(ROW()-8&gt;COUNTIFS(Catalog!$B$8:$B$101,"Potions",Catalog!$N$8:$N$101,1),"",INDEX(Catalog!$A$8:$A$101,MATCH("Potions"&amp;(ROW()-8),Catalog!$O$8:$O$101,0)))</f>
        <v/>
      </c>
      <c r="B46" s="10" t="str">
        <f t="array" ref="B46">IF(ROW()-8&gt;COUNTIFS(Catalog!$B$8:$B$101,"Potions",Catalog!$N$8:$N$101,1),"",INDEX(Catalog!$C$8:$C$101,MATCH("Potions"&amp;(ROW()-8),Catalog!$O$8:$O$101,0)))</f>
        <v/>
      </c>
      <c r="C46" s="12" t="str">
        <f t="array" ref="C46">IF(ROW()-8&gt;COUNTIFS(Catalog!$B$8:$B$101,"Potions",Catalog!$N$8:$N$101,1),"",INDEX(Catalog!$D$8:$D$101,MATCH("Potions"&amp;(ROW()-8),Catalog!$O$8:$O$101,0)))</f>
        <v/>
      </c>
      <c r="D46" s="1"/>
      <c r="E46" s="10" t="str">
        <f t="array" ref="E46">IF(ROW()-8&gt;COUNTIFS(Catalog!$B$8:$B$101,"Elixirs",Catalog!$N$8:$N$101,1),"",INDEX(Catalog!$A$8:$A$101,MATCH("Elixirs"&amp;(ROW()-8),Catalog!$O$8:$O$101,0)))</f>
        <v/>
      </c>
      <c r="F46" s="10" t="str">
        <f t="array" ref="F46">IF(ROW()-8&gt;COUNTIFS(Catalog!$B$8:$B$101,"Elixirs",Catalog!$N$8:$N$101,1),"",INDEX(Catalog!$C$8:$C$101,MATCH("Elixirs"&amp;(ROW()-8),Catalog!$O$8:$O$101,0)))</f>
        <v/>
      </c>
      <c r="G46" s="12" t="str">
        <f t="array" ref="G46">IF(ROW()-8&gt;COUNTIFS(Catalog!$B$8:$B$101,"Elixirs",Catalog!$N$8:$N$101,1),"",INDEX(Catalog!$D$8:$D$101,MATCH("Elixirs"&amp;(ROW()-8),Catalog!$O$8:$O$101,0)))</f>
        <v/>
      </c>
      <c r="H46" s="1"/>
      <c r="I46" s="10" t="str">
        <f t="array" ref="I46">IF(ROW()-8&gt;COUNTIFS(Catalog!$B$8:$B$101,"Food",Catalog!$N$8:$N$101,1),"",INDEX(Catalog!$A$8:$A$101,MATCH("Food"&amp;(ROW()-8),Catalog!$O$8:$O$101,0)))</f>
        <v/>
      </c>
      <c r="J46" s="10" t="str">
        <f t="array" ref="J46">IF(ROW()-8&gt;COUNTIFS(Catalog!$B$8:$B$101,"Food",Catalog!$N$8:$N$101,1),"",INDEX(Catalog!$C$8:$C$101,MATCH("Food"&amp;(ROW()-8),Catalog!$O$8:$O$101,0)))</f>
        <v/>
      </c>
      <c r="K46" s="12" t="str">
        <f t="array" ref="K46">IF(ROW()-8&gt;COUNTIFS(Catalog!$B$8:$B$101,"Food",Catalog!$N$8:$N$101,1),"",INDEX(Catalog!$D$8:$D$101,MATCH("Food"&amp;(ROW()-8),Catalog!$O$8:$O$101,0)))</f>
        <v/>
      </c>
    </row>
    <row r="47" ht="33.0" customHeight="1">
      <c r="A47" s="10" t="str">
        <f t="array" ref="A47">IF(ROW()-8&gt;COUNTIFS(Catalog!$B$8:$B$101,"Potions",Catalog!$N$8:$N$101,1),"",INDEX(Catalog!$A$8:$A$101,MATCH("Potions"&amp;(ROW()-8),Catalog!$O$8:$O$101,0)))</f>
        <v/>
      </c>
      <c r="B47" s="10" t="str">
        <f t="array" ref="B47">IF(ROW()-8&gt;COUNTIFS(Catalog!$B$8:$B$101,"Potions",Catalog!$N$8:$N$101,1),"",INDEX(Catalog!$C$8:$C$101,MATCH("Potions"&amp;(ROW()-8),Catalog!$O$8:$O$101,0)))</f>
        <v/>
      </c>
      <c r="C47" s="12" t="str">
        <f t="array" ref="C47">IF(ROW()-8&gt;COUNTIFS(Catalog!$B$8:$B$101,"Potions",Catalog!$N$8:$N$101,1),"",INDEX(Catalog!$D$8:$D$101,MATCH("Potions"&amp;(ROW()-8),Catalog!$O$8:$O$101,0)))</f>
        <v/>
      </c>
      <c r="D47" s="1"/>
      <c r="E47" s="10" t="str">
        <f t="array" ref="E47">IF(ROW()-8&gt;COUNTIFS(Catalog!$B$8:$B$101,"Elixirs",Catalog!$N$8:$N$101,1),"",INDEX(Catalog!$A$8:$A$101,MATCH("Elixirs"&amp;(ROW()-8),Catalog!$O$8:$O$101,0)))</f>
        <v/>
      </c>
      <c r="F47" s="10" t="str">
        <f t="array" ref="F47">IF(ROW()-8&gt;COUNTIFS(Catalog!$B$8:$B$101,"Elixirs",Catalog!$N$8:$N$101,1),"",INDEX(Catalog!$C$8:$C$101,MATCH("Elixirs"&amp;(ROW()-8),Catalog!$O$8:$O$101,0)))</f>
        <v/>
      </c>
      <c r="G47" s="12" t="str">
        <f t="array" ref="G47">IF(ROW()-8&gt;COUNTIFS(Catalog!$B$8:$B$101,"Elixirs",Catalog!$N$8:$N$101,1),"",INDEX(Catalog!$D$8:$D$101,MATCH("Elixirs"&amp;(ROW()-8),Catalog!$O$8:$O$101,0)))</f>
        <v/>
      </c>
      <c r="H47" s="1"/>
      <c r="I47" s="10" t="str">
        <f t="array" ref="I47">IF(ROW()-8&gt;COUNTIFS(Catalog!$B$8:$B$101,"Food",Catalog!$N$8:$N$101,1),"",INDEX(Catalog!$A$8:$A$101,MATCH("Food"&amp;(ROW()-8),Catalog!$O$8:$O$101,0)))</f>
        <v/>
      </c>
      <c r="J47" s="10" t="str">
        <f t="array" ref="J47">IF(ROW()-8&gt;COUNTIFS(Catalog!$B$8:$B$101,"Food",Catalog!$N$8:$N$101,1),"",INDEX(Catalog!$C$8:$C$101,MATCH("Food"&amp;(ROW()-8),Catalog!$O$8:$O$101,0)))</f>
        <v/>
      </c>
      <c r="K47" s="12" t="str">
        <f t="array" ref="K47">IF(ROW()-8&gt;COUNTIFS(Catalog!$B$8:$B$101,"Food",Catalog!$N$8:$N$101,1),"",INDEX(Catalog!$D$8:$D$101,MATCH("Food"&amp;(ROW()-8),Catalog!$O$8:$O$101,0)))</f>
        <v/>
      </c>
    </row>
    <row r="48" ht="33.0" customHeight="1">
      <c r="A48" s="10" t="str">
        <f t="array" ref="A48">IF(ROW()-8&gt;COUNTIFS(Catalog!$B$8:$B$101,"Potions",Catalog!$N$8:$N$101,1),"",INDEX(Catalog!$A$8:$A$101,MATCH("Potions"&amp;(ROW()-8),Catalog!$O$8:$O$101,0)))</f>
        <v/>
      </c>
      <c r="B48" s="10" t="str">
        <f t="array" ref="B48">IF(ROW()-8&gt;COUNTIFS(Catalog!$B$8:$B$101,"Potions",Catalog!$N$8:$N$101,1),"",INDEX(Catalog!$C$8:$C$101,MATCH("Potions"&amp;(ROW()-8),Catalog!$O$8:$O$101,0)))</f>
        <v/>
      </c>
      <c r="C48" s="12" t="str">
        <f t="array" ref="C48">IF(ROW()-8&gt;COUNTIFS(Catalog!$B$8:$B$101,"Potions",Catalog!$N$8:$N$101,1),"",INDEX(Catalog!$D$8:$D$101,MATCH("Potions"&amp;(ROW()-8),Catalog!$O$8:$O$101,0)))</f>
        <v/>
      </c>
      <c r="D48" s="1"/>
      <c r="E48" s="10" t="str">
        <f t="array" ref="E48">IF(ROW()-8&gt;COUNTIFS(Catalog!$B$8:$B$101,"Elixirs",Catalog!$N$8:$N$101,1),"",INDEX(Catalog!$A$8:$A$101,MATCH("Elixirs"&amp;(ROW()-8),Catalog!$O$8:$O$101,0)))</f>
        <v/>
      </c>
      <c r="F48" s="10" t="str">
        <f t="array" ref="F48">IF(ROW()-8&gt;COUNTIFS(Catalog!$B$8:$B$101,"Elixirs",Catalog!$N$8:$N$101,1),"",INDEX(Catalog!$C$8:$C$101,MATCH("Elixirs"&amp;(ROW()-8),Catalog!$O$8:$O$101,0)))</f>
        <v/>
      </c>
      <c r="G48" s="12" t="str">
        <f t="array" ref="G48">IF(ROW()-8&gt;COUNTIFS(Catalog!$B$8:$B$101,"Elixirs",Catalog!$N$8:$N$101,1),"",INDEX(Catalog!$D$8:$D$101,MATCH("Elixirs"&amp;(ROW()-8),Catalog!$O$8:$O$101,0)))</f>
        <v/>
      </c>
      <c r="H48" s="1"/>
      <c r="I48" s="10" t="str">
        <f t="array" ref="I48">IF(ROW()-8&gt;COUNTIFS(Catalog!$B$8:$B$101,"Food",Catalog!$N$8:$N$101,1),"",INDEX(Catalog!$A$8:$A$101,MATCH("Food"&amp;(ROW()-8),Catalog!$O$8:$O$101,0)))</f>
        <v/>
      </c>
      <c r="J48" s="10" t="str">
        <f t="array" ref="J48">IF(ROW()-8&gt;COUNTIFS(Catalog!$B$8:$B$101,"Food",Catalog!$N$8:$N$101,1),"",INDEX(Catalog!$C$8:$C$101,MATCH("Food"&amp;(ROW()-8),Catalog!$O$8:$O$101,0)))</f>
        <v/>
      </c>
      <c r="K48" s="12" t="str">
        <f t="array" ref="K48">IF(ROW()-8&gt;COUNTIFS(Catalog!$B$8:$B$101,"Food",Catalog!$N$8:$N$101,1),"",INDEX(Catalog!$D$8:$D$101,MATCH("Food"&amp;(ROW()-8),Catalog!$O$8:$O$101,0)))</f>
        <v/>
      </c>
    </row>
    <row r="49" ht="33.0" customHeight="1">
      <c r="A49" s="10" t="str">
        <f t="array" ref="A49">IF(ROW()-8&gt;COUNTIFS(Catalog!$B$8:$B$101,"Potions",Catalog!$N$8:$N$101,1),"",INDEX(Catalog!$A$8:$A$101,MATCH("Potions"&amp;(ROW()-8),Catalog!$O$8:$O$101,0)))</f>
        <v/>
      </c>
      <c r="B49" s="10" t="str">
        <f t="array" ref="B49">IF(ROW()-8&gt;COUNTIFS(Catalog!$B$8:$B$101,"Potions",Catalog!$N$8:$N$101,1),"",INDEX(Catalog!$C$8:$C$101,MATCH("Potions"&amp;(ROW()-8),Catalog!$O$8:$O$101,0)))</f>
        <v/>
      </c>
      <c r="C49" s="12" t="str">
        <f t="array" ref="C49">IF(ROW()-8&gt;COUNTIFS(Catalog!$B$8:$B$101,"Potions",Catalog!$N$8:$N$101,1),"",INDEX(Catalog!$D$8:$D$101,MATCH("Potions"&amp;(ROW()-8),Catalog!$O$8:$O$101,0)))</f>
        <v/>
      </c>
      <c r="D49" s="1"/>
      <c r="E49" s="10" t="str">
        <f t="array" ref="E49">IF(ROW()-8&gt;COUNTIFS(Catalog!$B$8:$B$101,"Elixirs",Catalog!$N$8:$N$101,1),"",INDEX(Catalog!$A$8:$A$101,MATCH("Elixirs"&amp;(ROW()-8),Catalog!$O$8:$O$101,0)))</f>
        <v/>
      </c>
      <c r="F49" s="10" t="str">
        <f t="array" ref="F49">IF(ROW()-8&gt;COUNTIFS(Catalog!$B$8:$B$101,"Elixirs",Catalog!$N$8:$N$101,1),"",INDEX(Catalog!$C$8:$C$101,MATCH("Elixirs"&amp;(ROW()-8),Catalog!$O$8:$O$101,0)))</f>
        <v/>
      </c>
      <c r="G49" s="12" t="str">
        <f t="array" ref="G49">IF(ROW()-8&gt;COUNTIFS(Catalog!$B$8:$B$101,"Elixirs",Catalog!$N$8:$N$101,1),"",INDEX(Catalog!$D$8:$D$101,MATCH("Elixirs"&amp;(ROW()-8),Catalog!$O$8:$O$101,0)))</f>
        <v/>
      </c>
      <c r="H49" s="1"/>
      <c r="I49" s="10" t="str">
        <f t="array" ref="I49">IF(ROW()-8&gt;COUNTIFS(Catalog!$B$8:$B$101,"Food",Catalog!$N$8:$N$101,1),"",INDEX(Catalog!$A$8:$A$101,MATCH("Food"&amp;(ROW()-8),Catalog!$O$8:$O$101,0)))</f>
        <v/>
      </c>
      <c r="J49" s="10" t="str">
        <f t="array" ref="J49">IF(ROW()-8&gt;COUNTIFS(Catalog!$B$8:$B$101,"Food",Catalog!$N$8:$N$101,1),"",INDEX(Catalog!$C$8:$C$101,MATCH("Food"&amp;(ROW()-8),Catalog!$O$8:$O$101,0)))</f>
        <v/>
      </c>
      <c r="K49" s="12" t="str">
        <f t="array" ref="K49">IF(ROW()-8&gt;COUNTIFS(Catalog!$B$8:$B$101,"Food",Catalog!$N$8:$N$101,1),"",INDEX(Catalog!$D$8:$D$101,MATCH("Food"&amp;(ROW()-8),Catalog!$O$8:$O$101,0)))</f>
        <v/>
      </c>
    </row>
    <row r="50" ht="33.0" customHeight="1">
      <c r="A50" s="10" t="str">
        <f t="array" ref="A50">IF(ROW()-8&gt;COUNTIFS(Catalog!$B$8:$B$101,"Potions",Catalog!$N$8:$N$101,1),"",INDEX(Catalog!$A$8:$A$101,MATCH("Potions"&amp;(ROW()-8),Catalog!$O$8:$O$101,0)))</f>
        <v/>
      </c>
      <c r="B50" s="10" t="str">
        <f t="array" ref="B50">IF(ROW()-8&gt;COUNTIFS(Catalog!$B$8:$B$101,"Potions",Catalog!$N$8:$N$101,1),"",INDEX(Catalog!$C$8:$C$101,MATCH("Potions"&amp;(ROW()-8),Catalog!$O$8:$O$101,0)))</f>
        <v/>
      </c>
      <c r="C50" s="12" t="str">
        <f t="array" ref="C50">IF(ROW()-8&gt;COUNTIFS(Catalog!$B$8:$B$101,"Potions",Catalog!$N$8:$N$101,1),"",INDEX(Catalog!$D$8:$D$101,MATCH("Potions"&amp;(ROW()-8),Catalog!$O$8:$O$101,0)))</f>
        <v/>
      </c>
      <c r="D50" s="1"/>
      <c r="E50" s="10" t="str">
        <f t="array" ref="E50">IF(ROW()-8&gt;COUNTIFS(Catalog!$B$8:$B$101,"Elixirs",Catalog!$N$8:$N$101,1),"",INDEX(Catalog!$A$8:$A$101,MATCH("Elixirs"&amp;(ROW()-8),Catalog!$O$8:$O$101,0)))</f>
        <v/>
      </c>
      <c r="F50" s="10" t="str">
        <f t="array" ref="F50">IF(ROW()-8&gt;COUNTIFS(Catalog!$B$8:$B$101,"Elixirs",Catalog!$N$8:$N$101,1),"",INDEX(Catalog!$C$8:$C$101,MATCH("Elixirs"&amp;(ROW()-8),Catalog!$O$8:$O$101,0)))</f>
        <v/>
      </c>
      <c r="G50" s="12" t="str">
        <f t="array" ref="G50">IF(ROW()-8&gt;COUNTIFS(Catalog!$B$8:$B$101,"Elixirs",Catalog!$N$8:$N$101,1),"",INDEX(Catalog!$D$8:$D$101,MATCH("Elixirs"&amp;(ROW()-8),Catalog!$O$8:$O$101,0)))</f>
        <v/>
      </c>
      <c r="H50" s="1"/>
      <c r="I50" s="10" t="str">
        <f t="array" ref="I50">IF(ROW()-8&gt;COUNTIFS(Catalog!$B$8:$B$101,"Food",Catalog!$N$8:$N$101,1),"",INDEX(Catalog!$A$8:$A$101,MATCH("Food"&amp;(ROW()-8),Catalog!$O$8:$O$101,0)))</f>
        <v/>
      </c>
      <c r="J50" s="10" t="str">
        <f t="array" ref="J50">IF(ROW()-8&gt;COUNTIFS(Catalog!$B$8:$B$101,"Food",Catalog!$N$8:$N$101,1),"",INDEX(Catalog!$C$8:$C$101,MATCH("Food"&amp;(ROW()-8),Catalog!$O$8:$O$101,0)))</f>
        <v/>
      </c>
      <c r="K50" s="12" t="str">
        <f t="array" ref="K50">IF(ROW()-8&gt;COUNTIFS(Catalog!$B$8:$B$101,"Food",Catalog!$N$8:$N$101,1),"",INDEX(Catalog!$D$8:$D$101,MATCH("Food"&amp;(ROW()-8),Catalog!$O$8:$O$101,0)))</f>
        <v/>
      </c>
    </row>
    <row r="51" ht="33.0" customHeight="1">
      <c r="A51" s="10" t="str">
        <f t="array" ref="A51">IF(ROW()-8&gt;COUNTIFS(Catalog!$B$8:$B$101,"Potions",Catalog!$N$8:$N$101,1),"",INDEX(Catalog!$A$8:$A$101,MATCH("Potions"&amp;(ROW()-8),Catalog!$O$8:$O$101,0)))</f>
        <v/>
      </c>
      <c r="B51" s="10" t="str">
        <f t="array" ref="B51">IF(ROW()-8&gt;COUNTIFS(Catalog!$B$8:$B$101,"Potions",Catalog!$N$8:$N$101,1),"",INDEX(Catalog!$C$8:$C$101,MATCH("Potions"&amp;(ROW()-8),Catalog!$O$8:$O$101,0)))</f>
        <v/>
      </c>
      <c r="C51" s="12" t="str">
        <f t="array" ref="C51">IF(ROW()-8&gt;COUNTIFS(Catalog!$B$8:$B$101,"Potions",Catalog!$N$8:$N$101,1),"",INDEX(Catalog!$D$8:$D$101,MATCH("Potions"&amp;(ROW()-8),Catalog!$O$8:$O$101,0)))</f>
        <v/>
      </c>
      <c r="D51" s="1"/>
      <c r="E51" s="10" t="str">
        <f t="array" ref="E51">IF(ROW()-8&gt;COUNTIFS(Catalog!$B$8:$B$101,"Elixirs",Catalog!$N$8:$N$101,1),"",INDEX(Catalog!$A$8:$A$101,MATCH("Elixirs"&amp;(ROW()-8),Catalog!$O$8:$O$101,0)))</f>
        <v/>
      </c>
      <c r="F51" s="10" t="str">
        <f t="array" ref="F51">IF(ROW()-8&gt;COUNTIFS(Catalog!$B$8:$B$101,"Elixirs",Catalog!$N$8:$N$101,1),"",INDEX(Catalog!$C$8:$C$101,MATCH("Elixirs"&amp;(ROW()-8),Catalog!$O$8:$O$101,0)))</f>
        <v/>
      </c>
      <c r="G51" s="12" t="str">
        <f t="array" ref="G51">IF(ROW()-8&gt;COUNTIFS(Catalog!$B$8:$B$101,"Elixirs",Catalog!$N$8:$N$101,1),"",INDEX(Catalog!$D$8:$D$101,MATCH("Elixirs"&amp;(ROW()-8),Catalog!$O$8:$O$101,0)))</f>
        <v/>
      </c>
      <c r="H51" s="1"/>
      <c r="I51" s="10" t="str">
        <f t="array" ref="I51">IF(ROW()-8&gt;COUNTIFS(Catalog!$B$8:$B$101,"Food",Catalog!$N$8:$N$101,1),"",INDEX(Catalog!$A$8:$A$101,MATCH("Food"&amp;(ROW()-8),Catalog!$O$8:$O$101,0)))</f>
        <v/>
      </c>
      <c r="J51" s="10" t="str">
        <f t="array" ref="J51">IF(ROW()-8&gt;COUNTIFS(Catalog!$B$8:$B$101,"Food",Catalog!$N$8:$N$101,1),"",INDEX(Catalog!$C$8:$C$101,MATCH("Food"&amp;(ROW()-8),Catalog!$O$8:$O$101,0)))</f>
        <v/>
      </c>
      <c r="K51" s="12" t="str">
        <f t="array" ref="K51">IF(ROW()-8&gt;COUNTIFS(Catalog!$B$8:$B$101,"Food",Catalog!$N$8:$N$101,1),"",INDEX(Catalog!$D$8:$D$101,MATCH("Food"&amp;(ROW()-8),Catalog!$O$8:$O$101,0)))</f>
        <v/>
      </c>
    </row>
    <row r="52" ht="33.0" customHeight="1">
      <c r="A52" s="10" t="str">
        <f t="array" ref="A52">IF(ROW()-8&gt;COUNTIFS(Catalog!$B$8:$B$101,"Potions",Catalog!$N$8:$N$101,1),"",INDEX(Catalog!$A$8:$A$101,MATCH("Potions"&amp;(ROW()-8),Catalog!$O$8:$O$101,0)))</f>
        <v/>
      </c>
      <c r="B52" s="10" t="str">
        <f t="array" ref="B52">IF(ROW()-8&gt;COUNTIFS(Catalog!$B$8:$B$101,"Potions",Catalog!$N$8:$N$101,1),"",INDEX(Catalog!$C$8:$C$101,MATCH("Potions"&amp;(ROW()-8),Catalog!$O$8:$O$101,0)))</f>
        <v/>
      </c>
      <c r="C52" s="12" t="str">
        <f t="array" ref="C52">IF(ROW()-8&gt;COUNTIFS(Catalog!$B$8:$B$101,"Potions",Catalog!$N$8:$N$101,1),"",INDEX(Catalog!$D$8:$D$101,MATCH("Potions"&amp;(ROW()-8),Catalog!$O$8:$O$101,0)))</f>
        <v/>
      </c>
      <c r="D52" s="1"/>
      <c r="E52" s="10" t="str">
        <f t="array" ref="E52">IF(ROW()-8&gt;COUNTIFS(Catalog!$B$8:$B$101,"Elixirs",Catalog!$N$8:$N$101,1),"",INDEX(Catalog!$A$8:$A$101,MATCH("Elixirs"&amp;(ROW()-8),Catalog!$O$8:$O$101,0)))</f>
        <v/>
      </c>
      <c r="F52" s="10" t="str">
        <f t="array" ref="F52">IF(ROW()-8&gt;COUNTIFS(Catalog!$B$8:$B$101,"Elixirs",Catalog!$N$8:$N$101,1),"",INDEX(Catalog!$C$8:$C$101,MATCH("Elixirs"&amp;(ROW()-8),Catalog!$O$8:$O$101,0)))</f>
        <v/>
      </c>
      <c r="G52" s="12" t="str">
        <f t="array" ref="G52">IF(ROW()-8&gt;COUNTIFS(Catalog!$B$8:$B$101,"Elixirs",Catalog!$N$8:$N$101,1),"",INDEX(Catalog!$D$8:$D$101,MATCH("Elixirs"&amp;(ROW()-8),Catalog!$O$8:$O$101,0)))</f>
        <v/>
      </c>
      <c r="H52" s="1"/>
      <c r="I52" s="10" t="str">
        <f t="array" ref="I52">IF(ROW()-8&gt;COUNTIFS(Catalog!$B$8:$B$101,"Food",Catalog!$N$8:$N$101,1),"",INDEX(Catalog!$A$8:$A$101,MATCH("Food"&amp;(ROW()-8),Catalog!$O$8:$O$101,0)))</f>
        <v/>
      </c>
      <c r="J52" s="10" t="str">
        <f t="array" ref="J52">IF(ROW()-8&gt;COUNTIFS(Catalog!$B$8:$B$101,"Food",Catalog!$N$8:$N$101,1),"",INDEX(Catalog!$C$8:$C$101,MATCH("Food"&amp;(ROW()-8),Catalog!$O$8:$O$101,0)))</f>
        <v/>
      </c>
      <c r="K52" s="12" t="str">
        <f t="array" ref="K52">IF(ROW()-8&gt;COUNTIFS(Catalog!$B$8:$B$101,"Food",Catalog!$N$8:$N$101,1),"",INDEX(Catalog!$D$8:$D$101,MATCH("Food"&amp;(ROW()-8),Catalog!$O$8:$O$101,0)))</f>
        <v/>
      </c>
    </row>
    <row r="53" ht="33.0" customHeight="1">
      <c r="A53" s="10" t="str">
        <f t="array" ref="A53">IF(ROW()-8&gt;COUNTIFS(Catalog!$B$8:$B$101,"Potions",Catalog!$N$8:$N$101,1),"",INDEX(Catalog!$A$8:$A$101,MATCH("Potions"&amp;(ROW()-8),Catalog!$O$8:$O$101,0)))</f>
        <v/>
      </c>
      <c r="B53" s="10" t="str">
        <f t="array" ref="B53">IF(ROW()-8&gt;COUNTIFS(Catalog!$B$8:$B$101,"Potions",Catalog!$N$8:$N$101,1),"",INDEX(Catalog!$C$8:$C$101,MATCH("Potions"&amp;(ROW()-8),Catalog!$O$8:$O$101,0)))</f>
        <v/>
      </c>
      <c r="C53" s="12" t="str">
        <f t="array" ref="C53">IF(ROW()-8&gt;COUNTIFS(Catalog!$B$8:$B$101,"Potions",Catalog!$N$8:$N$101,1),"",INDEX(Catalog!$D$8:$D$101,MATCH("Potions"&amp;(ROW()-8),Catalog!$O$8:$O$101,0)))</f>
        <v/>
      </c>
      <c r="D53" s="1"/>
      <c r="E53" s="10" t="str">
        <f t="array" ref="E53">IF(ROW()-8&gt;COUNTIFS(Catalog!$B$8:$B$101,"Elixirs",Catalog!$N$8:$N$101,1),"",INDEX(Catalog!$A$8:$A$101,MATCH("Elixirs"&amp;(ROW()-8),Catalog!$O$8:$O$101,0)))</f>
        <v/>
      </c>
      <c r="F53" s="10" t="str">
        <f t="array" ref="F53">IF(ROW()-8&gt;COUNTIFS(Catalog!$B$8:$B$101,"Elixirs",Catalog!$N$8:$N$101,1),"",INDEX(Catalog!$C$8:$C$101,MATCH("Elixirs"&amp;(ROW()-8),Catalog!$O$8:$O$101,0)))</f>
        <v/>
      </c>
      <c r="G53" s="12" t="str">
        <f t="array" ref="G53">IF(ROW()-8&gt;COUNTIFS(Catalog!$B$8:$B$101,"Elixirs",Catalog!$N$8:$N$101,1),"",INDEX(Catalog!$D$8:$D$101,MATCH("Elixirs"&amp;(ROW()-8),Catalog!$O$8:$O$101,0)))</f>
        <v/>
      </c>
      <c r="H53" s="1"/>
      <c r="I53" s="10" t="str">
        <f t="array" ref="I53">IF(ROW()-8&gt;COUNTIFS(Catalog!$B$8:$B$101,"Food",Catalog!$N$8:$N$101,1),"",INDEX(Catalog!$A$8:$A$101,MATCH("Food"&amp;(ROW()-8),Catalog!$O$8:$O$101,0)))</f>
        <v/>
      </c>
      <c r="J53" s="10" t="str">
        <f t="array" ref="J53">IF(ROW()-8&gt;COUNTIFS(Catalog!$B$8:$B$101,"Food",Catalog!$N$8:$N$101,1),"",INDEX(Catalog!$C$8:$C$101,MATCH("Food"&amp;(ROW()-8),Catalog!$O$8:$O$101,0)))</f>
        <v/>
      </c>
      <c r="K53" s="12" t="str">
        <f t="array" ref="K53">IF(ROW()-8&gt;COUNTIFS(Catalog!$B$8:$B$101,"Food",Catalog!$N$8:$N$101,1),"",INDEX(Catalog!$D$8:$D$101,MATCH("Food"&amp;(ROW()-8),Catalog!$O$8:$O$101,0)))</f>
        <v/>
      </c>
    </row>
    <row r="54" ht="33.0" customHeight="1">
      <c r="A54" s="10" t="str">
        <f t="array" ref="A54">IF(ROW()-8&gt;COUNTIFS(Catalog!$B$8:$B$101,"Potions",Catalog!$N$8:$N$101,1),"",INDEX(Catalog!$A$8:$A$101,MATCH("Potions"&amp;(ROW()-8),Catalog!$O$8:$O$101,0)))</f>
        <v/>
      </c>
      <c r="B54" s="10" t="str">
        <f t="array" ref="B54">IF(ROW()-8&gt;COUNTIFS(Catalog!$B$8:$B$101,"Potions",Catalog!$N$8:$N$101,1),"",INDEX(Catalog!$C$8:$C$101,MATCH("Potions"&amp;(ROW()-8),Catalog!$O$8:$O$101,0)))</f>
        <v/>
      </c>
      <c r="C54" s="12" t="str">
        <f t="array" ref="C54">IF(ROW()-8&gt;COUNTIFS(Catalog!$B$8:$B$101,"Potions",Catalog!$N$8:$N$101,1),"",INDEX(Catalog!$D$8:$D$101,MATCH("Potions"&amp;(ROW()-8),Catalog!$O$8:$O$101,0)))</f>
        <v/>
      </c>
      <c r="D54" s="1"/>
      <c r="E54" s="10" t="str">
        <f t="array" ref="E54">IF(ROW()-8&gt;COUNTIFS(Catalog!$B$8:$B$101,"Elixirs",Catalog!$N$8:$N$101,1),"",INDEX(Catalog!$A$8:$A$101,MATCH("Elixirs"&amp;(ROW()-8),Catalog!$O$8:$O$101,0)))</f>
        <v/>
      </c>
      <c r="F54" s="10" t="str">
        <f t="array" ref="F54">IF(ROW()-8&gt;COUNTIFS(Catalog!$B$8:$B$101,"Elixirs",Catalog!$N$8:$N$101,1),"",INDEX(Catalog!$C$8:$C$101,MATCH("Elixirs"&amp;(ROW()-8),Catalog!$O$8:$O$101,0)))</f>
        <v/>
      </c>
      <c r="G54" s="12" t="str">
        <f t="array" ref="G54">IF(ROW()-8&gt;COUNTIFS(Catalog!$B$8:$B$101,"Elixirs",Catalog!$N$8:$N$101,1),"",INDEX(Catalog!$D$8:$D$101,MATCH("Elixirs"&amp;(ROW()-8),Catalog!$O$8:$O$101,0)))</f>
        <v/>
      </c>
      <c r="H54" s="1"/>
      <c r="I54" s="10" t="str">
        <f t="array" ref="I54">IF(ROW()-8&gt;COUNTIFS(Catalog!$B$8:$B$101,"Food",Catalog!$N$8:$N$101,1),"",INDEX(Catalog!$A$8:$A$101,MATCH("Food"&amp;(ROW()-8),Catalog!$O$8:$O$101,0)))</f>
        <v/>
      </c>
      <c r="J54" s="10" t="str">
        <f t="array" ref="J54">IF(ROW()-8&gt;COUNTIFS(Catalog!$B$8:$B$101,"Food",Catalog!$N$8:$N$101,1),"",INDEX(Catalog!$C$8:$C$101,MATCH("Food"&amp;(ROW()-8),Catalog!$O$8:$O$101,0)))</f>
        <v/>
      </c>
      <c r="K54" s="12" t="str">
        <f t="array" ref="K54">IF(ROW()-8&gt;COUNTIFS(Catalog!$B$8:$B$101,"Food",Catalog!$N$8:$N$101,1),"",INDEX(Catalog!$D$8:$D$101,MATCH("Food"&amp;(ROW()-8),Catalog!$O$8:$O$101,0)))</f>
        <v/>
      </c>
    </row>
    <row r="55" ht="33.0" customHeight="1">
      <c r="A55" s="10" t="str">
        <f t="array" ref="A55">IF(ROW()-8&gt;COUNTIFS(Catalog!$B$8:$B$101,"Potions",Catalog!$N$8:$N$101,1),"",INDEX(Catalog!$A$8:$A$101,MATCH("Potions"&amp;(ROW()-8),Catalog!$O$8:$O$101,0)))</f>
        <v/>
      </c>
      <c r="B55" s="10" t="str">
        <f t="array" ref="B55">IF(ROW()-8&gt;COUNTIFS(Catalog!$B$8:$B$101,"Potions",Catalog!$N$8:$N$101,1),"",INDEX(Catalog!$C$8:$C$101,MATCH("Potions"&amp;(ROW()-8),Catalog!$O$8:$O$101,0)))</f>
        <v/>
      </c>
      <c r="C55" s="12" t="str">
        <f t="array" ref="C55">IF(ROW()-8&gt;COUNTIFS(Catalog!$B$8:$B$101,"Potions",Catalog!$N$8:$N$101,1),"",INDEX(Catalog!$D$8:$D$101,MATCH("Potions"&amp;(ROW()-8),Catalog!$O$8:$O$101,0)))</f>
        <v/>
      </c>
      <c r="D55" s="1"/>
      <c r="E55" s="10" t="str">
        <f t="array" ref="E55">IF(ROW()-8&gt;COUNTIFS(Catalog!$B$8:$B$101,"Elixirs",Catalog!$N$8:$N$101,1),"",INDEX(Catalog!$A$8:$A$101,MATCH("Elixirs"&amp;(ROW()-8),Catalog!$O$8:$O$101,0)))</f>
        <v/>
      </c>
      <c r="F55" s="10" t="str">
        <f t="array" ref="F55">IF(ROW()-8&gt;COUNTIFS(Catalog!$B$8:$B$101,"Elixirs",Catalog!$N$8:$N$101,1),"",INDEX(Catalog!$C$8:$C$101,MATCH("Elixirs"&amp;(ROW()-8),Catalog!$O$8:$O$101,0)))</f>
        <v/>
      </c>
      <c r="G55" s="12" t="str">
        <f t="array" ref="G55">IF(ROW()-8&gt;COUNTIFS(Catalog!$B$8:$B$101,"Elixirs",Catalog!$N$8:$N$101,1),"",INDEX(Catalog!$D$8:$D$101,MATCH("Elixirs"&amp;(ROW()-8),Catalog!$O$8:$O$101,0)))</f>
        <v/>
      </c>
      <c r="H55" s="1"/>
      <c r="I55" s="10" t="str">
        <f t="array" ref="I55">IF(ROW()-8&gt;COUNTIFS(Catalog!$B$8:$B$101,"Food",Catalog!$N$8:$N$101,1),"",INDEX(Catalog!$A$8:$A$101,MATCH("Food"&amp;(ROW()-8),Catalog!$O$8:$O$101,0)))</f>
        <v/>
      </c>
      <c r="J55" s="10" t="str">
        <f t="array" ref="J55">IF(ROW()-8&gt;COUNTIFS(Catalog!$B$8:$B$101,"Food",Catalog!$N$8:$N$101,1),"",INDEX(Catalog!$C$8:$C$101,MATCH("Food"&amp;(ROW()-8),Catalog!$O$8:$O$101,0)))</f>
        <v/>
      </c>
      <c r="K55" s="12" t="str">
        <f t="array" ref="K55">IF(ROW()-8&gt;COUNTIFS(Catalog!$B$8:$B$101,"Food",Catalog!$N$8:$N$101,1),"",INDEX(Catalog!$D$8:$D$101,MATCH("Food"&amp;(ROW()-8),Catalog!$O$8:$O$101,0)))</f>
        <v/>
      </c>
    </row>
    <row r="56" ht="15.75" customHeight="1">
      <c r="A56" s="18" t="str">
        <f t="array" ref="A56">IF(ROW()-8&gt;COUNTIFS(Catalog!$B$8:$B$101,"Potions",Catalog!$N$8:$N$101,1),"",INDEX(Catalog!$A$8:$A$101,MATCH("Potions"&amp;(ROW()-8),Catalog!$O$8:$O$101,0)))</f>
        <v/>
      </c>
      <c r="B56" s="18" t="str">
        <f t="array" ref="B56">IF(ROW()-8&gt;COUNTIFS(Catalog!$B$8:$B$101,"Potions",Catalog!$N$8:$N$101,1),"",INDEX(Catalog!$C$8:$C$101,MATCH("Potions"&amp;(ROW()-8),Catalog!$O$8:$O$101,0)))</f>
        <v/>
      </c>
      <c r="C56" s="18" t="str">
        <f t="array" ref="C56">IF(ROW()-8&gt;COUNTIFS(Catalog!$B$8:$B$101,"Potions",Catalog!$N$8:$N$101,1),"",INDEX(Catalog!$D$8:$D$101,MATCH("Potions"&amp;(ROW()-8),Catalog!$O$8:$O$101,0)))</f>
        <v/>
      </c>
      <c r="E56" s="18" t="str">
        <f t="array" ref="E56">IF(ROW()-8&gt;COUNTIFS(Catalog!$B$8:$B$101,"Elixirs",Catalog!$N$8:$N$101,1),"",INDEX(Catalog!$A$8:$A$101,MATCH("Elixirs"&amp;(ROW()-8),Catalog!$O$8:$O$101,0)))</f>
        <v/>
      </c>
      <c r="F56" s="18" t="str">
        <f t="array" ref="F56">IF(ROW()-8&gt;COUNTIFS(Catalog!$B$8:$B$101,"Elixirs",Catalog!$N$8:$N$101,1),"",INDEX(Catalog!$C$8:$C$101,MATCH("Elixirs"&amp;(ROW()-8),Catalog!$O$8:$O$101,0)))</f>
        <v/>
      </c>
      <c r="G56" s="18" t="str">
        <f t="array" ref="G56">IF(ROW()-8&gt;COUNTIFS(Catalog!$B$8:$B$101,"Elixirs",Catalog!$N$8:$N$101,1),"",INDEX(Catalog!$D$8:$D$101,MATCH("Elixirs"&amp;(ROW()-8),Catalog!$O$8:$O$101,0)))</f>
        <v/>
      </c>
      <c r="I56" s="18" t="str">
        <f t="array" ref="I56">IF(ROW()-8&gt;COUNTIFS(Catalog!$B$8:$B$101,"Food",Catalog!$N$8:$N$101,1),"",INDEX(Catalog!$A$8:$A$101,MATCH("Food"&amp;(ROW()-8),Catalog!$O$8:$O$101,0)))</f>
        <v/>
      </c>
      <c r="J56" s="18" t="str">
        <f t="array" ref="J56">IF(ROW()-8&gt;COUNTIFS(Catalog!$B$8:$B$101,"Food",Catalog!$N$8:$N$101,1),"",INDEX(Catalog!$C$8:$C$101,MATCH("Food"&amp;(ROW()-8),Catalog!$O$8:$O$101,0)))</f>
        <v/>
      </c>
      <c r="K56" s="18" t="str">
        <f t="array" ref="K56">IF(ROW()-8&gt;COUNTIFS(Catalog!$B$8:$B$101,"Food",Catalog!$N$8:$N$101,1),"",INDEX(Catalog!$D$8:$D$101,MATCH("Food"&amp;(ROW()-8),Catalog!$O$8:$O$101,0)))</f>
        <v/>
      </c>
    </row>
    <row r="57" ht="15.75" customHeight="1">
      <c r="A57" s="18" t="str">
        <f t="array" ref="A57">IF(ROW()-8&gt;COUNTIFS(Catalog!$B$8:$B$101,"Potions",Catalog!$N$8:$N$101,1),"",INDEX(Catalog!$A$8:$A$101,MATCH("Potions"&amp;(ROW()-8),Catalog!$O$8:$O$101,0)))</f>
        <v/>
      </c>
      <c r="B57" s="18" t="str">
        <f t="array" ref="B57">IF(ROW()-8&gt;COUNTIFS(Catalog!$B$8:$B$101,"Potions",Catalog!$N$8:$N$101,1),"",INDEX(Catalog!$C$8:$C$101,MATCH("Potions"&amp;(ROW()-8),Catalog!$O$8:$O$101,0)))</f>
        <v/>
      </c>
      <c r="C57" s="18" t="str">
        <f t="array" ref="C57">IF(ROW()-8&gt;COUNTIFS(Catalog!$B$8:$B$101,"Potions",Catalog!$N$8:$N$101,1),"",INDEX(Catalog!$D$8:$D$101,MATCH("Potions"&amp;(ROW()-8),Catalog!$O$8:$O$101,0)))</f>
        <v/>
      </c>
      <c r="E57" s="18" t="str">
        <f t="array" ref="E57">IF(ROW()-8&gt;COUNTIFS(Catalog!$B$8:$B$101,"Elixirs",Catalog!$N$8:$N$101,1),"",INDEX(Catalog!$A$8:$A$101,MATCH("Elixirs"&amp;(ROW()-8),Catalog!$O$8:$O$101,0)))</f>
        <v/>
      </c>
      <c r="F57" s="18" t="str">
        <f t="array" ref="F57">IF(ROW()-8&gt;COUNTIFS(Catalog!$B$8:$B$101,"Elixirs",Catalog!$N$8:$N$101,1),"",INDEX(Catalog!$C$8:$C$101,MATCH("Elixirs"&amp;(ROW()-8),Catalog!$O$8:$O$101,0)))</f>
        <v/>
      </c>
      <c r="G57" s="18" t="str">
        <f t="array" ref="G57">IF(ROW()-8&gt;COUNTIFS(Catalog!$B$8:$B$101,"Elixirs",Catalog!$N$8:$N$101,1),"",INDEX(Catalog!$D$8:$D$101,MATCH("Elixirs"&amp;(ROW()-8),Catalog!$O$8:$O$101,0)))</f>
        <v/>
      </c>
      <c r="I57" s="18" t="str">
        <f t="array" ref="I57">IF(ROW()-8&gt;COUNTIFS(Catalog!$B$8:$B$101,"Food",Catalog!$N$8:$N$101,1),"",INDEX(Catalog!$A$8:$A$101,MATCH("Food"&amp;(ROW()-8),Catalog!$O$8:$O$101,0)))</f>
        <v/>
      </c>
      <c r="J57" s="18" t="str">
        <f t="array" ref="J57">IF(ROW()-8&gt;COUNTIFS(Catalog!$B$8:$B$101,"Food",Catalog!$N$8:$N$101,1),"",INDEX(Catalog!$C$8:$C$101,MATCH("Food"&amp;(ROW()-8),Catalog!$O$8:$O$101,0)))</f>
        <v/>
      </c>
      <c r="K57" s="18" t="str">
        <f t="array" ref="K57">IF(ROW()-8&gt;COUNTIFS(Catalog!$B$8:$B$101,"Food",Catalog!$N$8:$N$101,1),"",INDEX(Catalog!$D$8:$D$101,MATCH("Food"&amp;(ROW()-8),Catalog!$O$8:$O$101,0)))</f>
        <v/>
      </c>
    </row>
    <row r="58" ht="15.75" customHeight="1">
      <c r="A58" s="18" t="str">
        <f t="array" ref="A58">IF(ROW()-8&gt;COUNTIFS(Catalog!$B$8:$B$101,"Potions",Catalog!$N$8:$N$101,1),"",INDEX(Catalog!$A$8:$A$101,MATCH("Potions"&amp;(ROW()-8),Catalog!$O$8:$O$101,0)))</f>
        <v/>
      </c>
      <c r="B58" s="18" t="str">
        <f t="array" ref="B58">IF(ROW()-8&gt;COUNTIFS(Catalog!$B$8:$B$101,"Potions",Catalog!$N$8:$N$101,1),"",INDEX(Catalog!$C$8:$C$101,MATCH("Potions"&amp;(ROW()-8),Catalog!$O$8:$O$101,0)))</f>
        <v/>
      </c>
      <c r="C58" s="18" t="str">
        <f t="array" ref="C58">IF(ROW()-8&gt;COUNTIFS(Catalog!$B$8:$B$101,"Potions",Catalog!$N$8:$N$101,1),"",INDEX(Catalog!$D$8:$D$101,MATCH("Potions"&amp;(ROW()-8),Catalog!$O$8:$O$101,0)))</f>
        <v/>
      </c>
      <c r="E58" s="18" t="str">
        <f t="array" ref="E58">IF(ROW()-8&gt;COUNTIFS(Catalog!$B$8:$B$101,"Elixirs",Catalog!$N$8:$N$101,1),"",INDEX(Catalog!$A$8:$A$101,MATCH("Elixirs"&amp;(ROW()-8),Catalog!$O$8:$O$101,0)))</f>
        <v/>
      </c>
      <c r="F58" s="18" t="str">
        <f t="array" ref="F58">IF(ROW()-8&gt;COUNTIFS(Catalog!$B$8:$B$101,"Elixirs",Catalog!$N$8:$N$101,1),"",INDEX(Catalog!$C$8:$C$101,MATCH("Elixirs"&amp;(ROW()-8),Catalog!$O$8:$O$101,0)))</f>
        <v/>
      </c>
      <c r="G58" s="18" t="str">
        <f t="array" ref="G58">IF(ROW()-8&gt;COUNTIFS(Catalog!$B$8:$B$101,"Elixirs",Catalog!$N$8:$N$101,1),"",INDEX(Catalog!$D$8:$D$101,MATCH("Elixirs"&amp;(ROW()-8),Catalog!$O$8:$O$101,0)))</f>
        <v/>
      </c>
      <c r="I58" s="18" t="str">
        <f t="array" ref="I58">IF(ROW()-8&gt;COUNTIFS(Catalog!$B$8:$B$101,"Food",Catalog!$N$8:$N$101,1),"",INDEX(Catalog!$A$8:$A$101,MATCH("Food"&amp;(ROW()-8),Catalog!$O$8:$O$101,0)))</f>
        <v/>
      </c>
      <c r="J58" s="18" t="str">
        <f t="array" ref="J58">IF(ROW()-8&gt;COUNTIFS(Catalog!$B$8:$B$101,"Food",Catalog!$N$8:$N$101,1),"",INDEX(Catalog!$C$8:$C$101,MATCH("Food"&amp;(ROW()-8),Catalog!$O$8:$O$101,0)))</f>
        <v/>
      </c>
      <c r="K58" s="18" t="str">
        <f t="array" ref="K58">IF(ROW()-8&gt;COUNTIFS(Catalog!$B$8:$B$101,"Food",Catalog!$N$8:$N$101,1),"",INDEX(Catalog!$D$8:$D$101,MATCH("Food"&amp;(ROW()-8),Catalog!$O$8:$O$101,0)))</f>
        <v/>
      </c>
    </row>
    <row r="59" ht="15.75" customHeight="1">
      <c r="A59" s="18" t="str">
        <f t="array" ref="A59">IF(ROW()-8&gt;COUNTIFS(Catalog!$B$8:$B$101,"Potions",Catalog!$N$8:$N$101,1),"",INDEX(Catalog!$A$8:$A$101,MATCH("Potions"&amp;(ROW()-8),Catalog!$O$8:$O$101,0)))</f>
        <v/>
      </c>
      <c r="B59" s="18" t="str">
        <f t="array" ref="B59">IF(ROW()-8&gt;COUNTIFS(Catalog!$B$8:$B$101,"Potions",Catalog!$N$8:$N$101,1),"",INDEX(Catalog!$C$8:$C$101,MATCH("Potions"&amp;(ROW()-8),Catalog!$O$8:$O$101,0)))</f>
        <v/>
      </c>
      <c r="C59" s="18" t="str">
        <f t="array" ref="C59">IF(ROW()-8&gt;COUNTIFS(Catalog!$B$8:$B$101,"Potions",Catalog!$N$8:$N$101,1),"",INDEX(Catalog!$D$8:$D$101,MATCH("Potions"&amp;(ROW()-8),Catalog!$O$8:$O$101,0)))</f>
        <v/>
      </c>
      <c r="E59" s="18" t="str">
        <f t="array" ref="E59">IF(ROW()-8&gt;COUNTIFS(Catalog!$B$8:$B$101,"Elixirs",Catalog!$N$8:$N$101,1),"",INDEX(Catalog!$A$8:$A$101,MATCH("Elixirs"&amp;(ROW()-8),Catalog!$O$8:$O$101,0)))</f>
        <v/>
      </c>
      <c r="F59" s="18" t="str">
        <f t="array" ref="F59">IF(ROW()-8&gt;COUNTIFS(Catalog!$B$8:$B$101,"Elixirs",Catalog!$N$8:$N$101,1),"",INDEX(Catalog!$C$8:$C$101,MATCH("Elixirs"&amp;(ROW()-8),Catalog!$O$8:$O$101,0)))</f>
        <v/>
      </c>
      <c r="G59" s="18" t="str">
        <f t="array" ref="G59">IF(ROW()-8&gt;COUNTIFS(Catalog!$B$8:$B$101,"Elixirs",Catalog!$N$8:$N$101,1),"",INDEX(Catalog!$D$8:$D$101,MATCH("Elixirs"&amp;(ROW()-8),Catalog!$O$8:$O$101,0)))</f>
        <v/>
      </c>
      <c r="I59" s="18" t="str">
        <f t="array" ref="I59">IF(ROW()-8&gt;COUNTIFS(Catalog!$B$8:$B$101,"Food",Catalog!$N$8:$N$101,1),"",INDEX(Catalog!$A$8:$A$101,MATCH("Food"&amp;(ROW()-8),Catalog!$O$8:$O$101,0)))</f>
        <v/>
      </c>
      <c r="J59" s="18" t="str">
        <f t="array" ref="J59">IF(ROW()-8&gt;COUNTIFS(Catalog!$B$8:$B$101,"Food",Catalog!$N$8:$N$101,1),"",INDEX(Catalog!$C$8:$C$101,MATCH("Food"&amp;(ROW()-8),Catalog!$O$8:$O$101,0)))</f>
        <v/>
      </c>
      <c r="K59" s="18" t="str">
        <f t="array" ref="K59">IF(ROW()-8&gt;COUNTIFS(Catalog!$B$8:$B$101,"Food",Catalog!$N$8:$N$101,1),"",INDEX(Catalog!$D$8:$D$101,MATCH("Food"&amp;(ROW()-8),Catalog!$O$8:$O$101,0)))</f>
        <v/>
      </c>
    </row>
    <row r="60" ht="15.75" customHeight="1">
      <c r="A60" s="18" t="str">
        <f t="array" ref="A60">IF(ROW()-8&gt;COUNTIFS(Catalog!$B$8:$B$101,"Potions",Catalog!$N$8:$N$101,1),"",INDEX(Catalog!$A$8:$A$101,MATCH("Potions"&amp;(ROW()-8),Catalog!$O$8:$O$101,0)))</f>
        <v/>
      </c>
      <c r="B60" s="18" t="str">
        <f t="array" ref="B60">IF(ROW()-8&gt;COUNTIFS(Catalog!$B$8:$B$101,"Potions",Catalog!$N$8:$N$101,1),"",INDEX(Catalog!$C$8:$C$101,MATCH("Potions"&amp;(ROW()-8),Catalog!$O$8:$O$101,0)))</f>
        <v/>
      </c>
      <c r="C60" s="18" t="str">
        <f t="array" ref="C60">IF(ROW()-8&gt;COUNTIFS(Catalog!$B$8:$B$101,"Potions",Catalog!$N$8:$N$101,1),"",INDEX(Catalog!$D$8:$D$101,MATCH("Potions"&amp;(ROW()-8),Catalog!$O$8:$O$101,0)))</f>
        <v/>
      </c>
      <c r="E60" s="18" t="str">
        <f t="array" ref="E60">IF(ROW()-8&gt;COUNTIFS(Catalog!$B$8:$B$101,"Elixirs",Catalog!$N$8:$N$101,1),"",INDEX(Catalog!$A$8:$A$101,MATCH("Elixirs"&amp;(ROW()-8),Catalog!$O$8:$O$101,0)))</f>
        <v/>
      </c>
      <c r="F60" s="18" t="str">
        <f t="array" ref="F60">IF(ROW()-8&gt;COUNTIFS(Catalog!$B$8:$B$101,"Elixirs",Catalog!$N$8:$N$101,1),"",INDEX(Catalog!$C$8:$C$101,MATCH("Elixirs"&amp;(ROW()-8),Catalog!$O$8:$O$101,0)))</f>
        <v/>
      </c>
      <c r="G60" s="18" t="str">
        <f t="array" ref="G60">IF(ROW()-8&gt;COUNTIFS(Catalog!$B$8:$B$101,"Elixirs",Catalog!$N$8:$N$101,1),"",INDEX(Catalog!$D$8:$D$101,MATCH("Elixirs"&amp;(ROW()-8),Catalog!$O$8:$O$101,0)))</f>
        <v/>
      </c>
      <c r="I60" s="18" t="str">
        <f t="array" ref="I60">IF(ROW()-8&gt;COUNTIFS(Catalog!$B$8:$B$101,"Food",Catalog!$N$8:$N$101,1),"",INDEX(Catalog!$A$8:$A$101,MATCH("Food"&amp;(ROW()-8),Catalog!$O$8:$O$101,0)))</f>
        <v/>
      </c>
      <c r="J60" s="18" t="str">
        <f t="array" ref="J60">IF(ROW()-8&gt;COUNTIFS(Catalog!$B$8:$B$101,"Food",Catalog!$N$8:$N$101,1),"",INDEX(Catalog!$C$8:$C$101,MATCH("Food"&amp;(ROW()-8),Catalog!$O$8:$O$101,0)))</f>
        <v/>
      </c>
      <c r="K60" s="18" t="str">
        <f t="array" ref="K60">IF(ROW()-8&gt;COUNTIFS(Catalog!$B$8:$B$101,"Food",Catalog!$N$8:$N$101,1),"",INDEX(Catalog!$D$8:$D$101,MATCH("Food"&amp;(ROW()-8),Catalog!$O$8:$O$101,0)))</f>
        <v/>
      </c>
    </row>
    <row r="61" ht="15.75" customHeight="1">
      <c r="A61" s="18" t="str">
        <f t="array" ref="A61">IF(ROW()-8&gt;COUNTIFS(Catalog!$B$8:$B$101,"Potions",Catalog!$N$8:$N$101,1),"",INDEX(Catalog!$A$8:$A$101,MATCH("Potions"&amp;(ROW()-8),Catalog!$O$8:$O$101,0)))</f>
        <v/>
      </c>
      <c r="B61" s="18" t="str">
        <f t="array" ref="B61">IF(ROW()-8&gt;COUNTIFS(Catalog!$B$8:$B$101,"Potions",Catalog!$N$8:$N$101,1),"",INDEX(Catalog!$C$8:$C$101,MATCH("Potions"&amp;(ROW()-8),Catalog!$O$8:$O$101,0)))</f>
        <v/>
      </c>
      <c r="C61" s="18" t="str">
        <f t="array" ref="C61">IF(ROW()-8&gt;COUNTIFS(Catalog!$B$8:$B$101,"Potions",Catalog!$N$8:$N$101,1),"",INDEX(Catalog!$D$8:$D$101,MATCH("Potions"&amp;(ROW()-8),Catalog!$O$8:$O$101,0)))</f>
        <v/>
      </c>
      <c r="E61" s="18" t="str">
        <f t="array" ref="E61">IF(ROW()-8&gt;COUNTIFS(Catalog!$B$8:$B$101,"Elixirs",Catalog!$N$8:$N$101,1),"",INDEX(Catalog!$A$8:$A$101,MATCH("Elixirs"&amp;(ROW()-8),Catalog!$O$8:$O$101,0)))</f>
        <v/>
      </c>
      <c r="F61" s="18" t="str">
        <f t="array" ref="F61">IF(ROW()-8&gt;COUNTIFS(Catalog!$B$8:$B$101,"Elixirs",Catalog!$N$8:$N$101,1),"",INDEX(Catalog!$C$8:$C$101,MATCH("Elixirs"&amp;(ROW()-8),Catalog!$O$8:$O$101,0)))</f>
        <v/>
      </c>
      <c r="G61" s="18" t="str">
        <f t="array" ref="G61">IF(ROW()-8&gt;COUNTIFS(Catalog!$B$8:$B$101,"Elixirs",Catalog!$N$8:$N$101,1),"",INDEX(Catalog!$D$8:$D$101,MATCH("Elixirs"&amp;(ROW()-8),Catalog!$O$8:$O$101,0)))</f>
        <v/>
      </c>
      <c r="I61" s="18" t="str">
        <f t="array" ref="I61">IF(ROW()-8&gt;COUNTIFS(Catalog!$B$8:$B$101,"Food",Catalog!$N$8:$N$101,1),"",INDEX(Catalog!$A$8:$A$101,MATCH("Food"&amp;(ROW()-8),Catalog!$O$8:$O$101,0)))</f>
        <v/>
      </c>
      <c r="J61" s="18" t="str">
        <f t="array" ref="J61">IF(ROW()-8&gt;COUNTIFS(Catalog!$B$8:$B$101,"Food",Catalog!$N$8:$N$101,1),"",INDEX(Catalog!$C$8:$C$101,MATCH("Food"&amp;(ROW()-8),Catalog!$O$8:$O$101,0)))</f>
        <v/>
      </c>
      <c r="K61" s="18" t="str">
        <f t="array" ref="K61">IF(ROW()-8&gt;COUNTIFS(Catalog!$B$8:$B$101,"Food",Catalog!$N$8:$N$101,1),"",INDEX(Catalog!$D$8:$D$101,MATCH("Food"&amp;(ROW()-8),Catalog!$O$8:$O$101,0)))</f>
        <v/>
      </c>
    </row>
    <row r="62" ht="15.75" customHeight="1">
      <c r="A62" s="18" t="str">
        <f t="array" ref="A62">IF(ROW()-8&gt;COUNTIFS(Catalog!$B$8:$B$101,"Potions",Catalog!$N$8:$N$101,1),"",INDEX(Catalog!$A$8:$A$101,MATCH("Potions"&amp;(ROW()-8),Catalog!$O$8:$O$101,0)))</f>
        <v/>
      </c>
      <c r="B62" s="18" t="str">
        <f t="array" ref="B62">IF(ROW()-8&gt;COUNTIFS(Catalog!$B$8:$B$101,"Potions",Catalog!$N$8:$N$101,1),"",INDEX(Catalog!$C$8:$C$101,MATCH("Potions"&amp;(ROW()-8),Catalog!$O$8:$O$101,0)))</f>
        <v/>
      </c>
      <c r="C62" s="18" t="str">
        <f t="array" ref="C62">IF(ROW()-8&gt;COUNTIFS(Catalog!$B$8:$B$101,"Potions",Catalog!$N$8:$N$101,1),"",INDEX(Catalog!$D$8:$D$101,MATCH("Potions"&amp;(ROW()-8),Catalog!$O$8:$O$101,0)))</f>
        <v/>
      </c>
      <c r="E62" s="18" t="str">
        <f t="array" ref="E62">IF(ROW()-8&gt;COUNTIFS(Catalog!$B$8:$B$101,"Elixirs",Catalog!$N$8:$N$101,1),"",INDEX(Catalog!$A$8:$A$101,MATCH("Elixirs"&amp;(ROW()-8),Catalog!$O$8:$O$101,0)))</f>
        <v/>
      </c>
      <c r="F62" s="18" t="str">
        <f t="array" ref="F62">IF(ROW()-8&gt;COUNTIFS(Catalog!$B$8:$B$101,"Elixirs",Catalog!$N$8:$N$101,1),"",INDEX(Catalog!$C$8:$C$101,MATCH("Elixirs"&amp;(ROW()-8),Catalog!$O$8:$O$101,0)))</f>
        <v/>
      </c>
      <c r="G62" s="18" t="str">
        <f t="array" ref="G62">IF(ROW()-8&gt;COUNTIFS(Catalog!$B$8:$B$101,"Elixirs",Catalog!$N$8:$N$101,1),"",INDEX(Catalog!$D$8:$D$101,MATCH("Elixirs"&amp;(ROW()-8),Catalog!$O$8:$O$101,0)))</f>
        <v/>
      </c>
      <c r="I62" s="18" t="str">
        <f t="array" ref="I62">IF(ROW()-8&gt;COUNTIFS(Catalog!$B$8:$B$101,"Food",Catalog!$N$8:$N$101,1),"",INDEX(Catalog!$A$8:$A$101,MATCH("Food"&amp;(ROW()-8),Catalog!$O$8:$O$101,0)))</f>
        <v/>
      </c>
      <c r="J62" s="18" t="str">
        <f t="array" ref="J62">IF(ROW()-8&gt;COUNTIFS(Catalog!$B$8:$B$101,"Food",Catalog!$N$8:$N$101,1),"",INDEX(Catalog!$C$8:$C$101,MATCH("Food"&amp;(ROW()-8),Catalog!$O$8:$O$101,0)))</f>
        <v/>
      </c>
      <c r="K62" s="18" t="str">
        <f t="array" ref="K62">IF(ROW()-8&gt;COUNTIFS(Catalog!$B$8:$B$101,"Food",Catalog!$N$8:$N$101,1),"",INDEX(Catalog!$D$8:$D$101,MATCH("Food"&amp;(ROW()-8),Catalog!$O$8:$O$101,0)))</f>
        <v/>
      </c>
    </row>
    <row r="63" ht="15.75" customHeight="1">
      <c r="A63" s="18" t="str">
        <f t="array" ref="A63">IF(ROW()-8&gt;COUNTIFS(Catalog!$B$8:$B$101,"Potions",Catalog!$N$8:$N$101,1),"",INDEX(Catalog!$A$8:$A$101,MATCH("Potions"&amp;(ROW()-8),Catalog!$O$8:$O$101,0)))</f>
        <v/>
      </c>
      <c r="B63" s="18" t="str">
        <f t="array" ref="B63">IF(ROW()-8&gt;COUNTIFS(Catalog!$B$8:$B$101,"Potions",Catalog!$N$8:$N$101,1),"",INDEX(Catalog!$C$8:$C$101,MATCH("Potions"&amp;(ROW()-8),Catalog!$O$8:$O$101,0)))</f>
        <v/>
      </c>
      <c r="C63" s="18" t="str">
        <f t="array" ref="C63">IF(ROW()-8&gt;COUNTIFS(Catalog!$B$8:$B$101,"Potions",Catalog!$N$8:$N$101,1),"",INDEX(Catalog!$D$8:$D$101,MATCH("Potions"&amp;(ROW()-8),Catalog!$O$8:$O$101,0)))</f>
        <v/>
      </c>
      <c r="E63" s="18" t="str">
        <f t="array" ref="E63">IF(ROW()-8&gt;COUNTIFS(Catalog!$B$8:$B$101,"Elixirs",Catalog!$N$8:$N$101,1),"",INDEX(Catalog!$A$8:$A$101,MATCH("Elixirs"&amp;(ROW()-8),Catalog!$O$8:$O$101,0)))</f>
        <v/>
      </c>
      <c r="F63" s="18" t="str">
        <f t="array" ref="F63">IF(ROW()-8&gt;COUNTIFS(Catalog!$B$8:$B$101,"Elixirs",Catalog!$N$8:$N$101,1),"",INDEX(Catalog!$C$8:$C$101,MATCH("Elixirs"&amp;(ROW()-8),Catalog!$O$8:$O$101,0)))</f>
        <v/>
      </c>
      <c r="G63" s="18" t="str">
        <f t="array" ref="G63">IF(ROW()-8&gt;COUNTIFS(Catalog!$B$8:$B$101,"Elixirs",Catalog!$N$8:$N$101,1),"",INDEX(Catalog!$D$8:$D$101,MATCH("Elixirs"&amp;(ROW()-8),Catalog!$O$8:$O$101,0)))</f>
        <v/>
      </c>
      <c r="I63" s="18" t="str">
        <f t="array" ref="I63">IF(ROW()-8&gt;COUNTIFS(Catalog!$B$8:$B$101,"Food",Catalog!$N$8:$N$101,1),"",INDEX(Catalog!$A$8:$A$101,MATCH("Food"&amp;(ROW()-8),Catalog!$O$8:$O$101,0)))</f>
        <v/>
      </c>
      <c r="J63" s="18" t="str">
        <f t="array" ref="J63">IF(ROW()-8&gt;COUNTIFS(Catalog!$B$8:$B$101,"Food",Catalog!$N$8:$N$101,1),"",INDEX(Catalog!$C$8:$C$101,MATCH("Food"&amp;(ROW()-8),Catalog!$O$8:$O$101,0)))</f>
        <v/>
      </c>
      <c r="K63" s="18" t="str">
        <f t="array" ref="K63">IF(ROW()-8&gt;COUNTIFS(Catalog!$B$8:$B$101,"Food",Catalog!$N$8:$N$101,1),"",INDEX(Catalog!$D$8:$D$101,MATCH("Food"&amp;(ROW()-8),Catalog!$O$8:$O$101,0)))</f>
        <v/>
      </c>
    </row>
    <row r="64" ht="15.75" customHeight="1">
      <c r="A64" s="18" t="str">
        <f t="array" ref="A64">IF(ROW()-8&gt;COUNTIFS(Catalog!$B$8:$B$101,"Potions",Catalog!$N$8:$N$101,1),"",INDEX(Catalog!$A$8:$A$101,MATCH("Potions"&amp;(ROW()-8),Catalog!$O$8:$O$101,0)))</f>
        <v/>
      </c>
      <c r="B64" s="18" t="str">
        <f t="array" ref="B64">IF(ROW()-8&gt;COUNTIFS(Catalog!$B$8:$B$101,"Potions",Catalog!$N$8:$N$101,1),"",INDEX(Catalog!$C$8:$C$101,MATCH("Potions"&amp;(ROW()-8),Catalog!$O$8:$O$101,0)))</f>
        <v/>
      </c>
      <c r="C64" s="18" t="str">
        <f t="array" ref="C64">IF(ROW()-8&gt;COUNTIFS(Catalog!$B$8:$B$101,"Potions",Catalog!$N$8:$N$101,1),"",INDEX(Catalog!$D$8:$D$101,MATCH("Potions"&amp;(ROW()-8),Catalog!$O$8:$O$101,0)))</f>
        <v/>
      </c>
      <c r="E64" s="18" t="str">
        <f t="array" ref="E64">IF(ROW()-8&gt;COUNTIFS(Catalog!$B$8:$B$101,"Elixirs",Catalog!$N$8:$N$101,1),"",INDEX(Catalog!$A$8:$A$101,MATCH("Elixirs"&amp;(ROW()-8),Catalog!$O$8:$O$101,0)))</f>
        <v/>
      </c>
      <c r="F64" s="18" t="str">
        <f t="array" ref="F64">IF(ROW()-8&gt;COUNTIFS(Catalog!$B$8:$B$101,"Elixirs",Catalog!$N$8:$N$101,1),"",INDEX(Catalog!$C$8:$C$101,MATCH("Elixirs"&amp;(ROW()-8),Catalog!$O$8:$O$101,0)))</f>
        <v/>
      </c>
      <c r="G64" s="18" t="str">
        <f t="array" ref="G64">IF(ROW()-8&gt;COUNTIFS(Catalog!$B$8:$B$101,"Elixirs",Catalog!$N$8:$N$101,1),"",INDEX(Catalog!$D$8:$D$101,MATCH("Elixirs"&amp;(ROW()-8),Catalog!$O$8:$O$101,0)))</f>
        <v/>
      </c>
      <c r="I64" s="18" t="str">
        <f t="array" ref="I64">IF(ROW()-8&gt;COUNTIFS(Catalog!$B$8:$B$101,"Food",Catalog!$N$8:$N$101,1),"",INDEX(Catalog!$A$8:$A$101,MATCH("Food"&amp;(ROW()-8),Catalog!$O$8:$O$101,0)))</f>
        <v/>
      </c>
      <c r="J64" s="18" t="str">
        <f t="array" ref="J64">IF(ROW()-8&gt;COUNTIFS(Catalog!$B$8:$B$101,"Food",Catalog!$N$8:$N$101,1),"",INDEX(Catalog!$C$8:$C$101,MATCH("Food"&amp;(ROW()-8),Catalog!$O$8:$O$101,0)))</f>
        <v/>
      </c>
      <c r="K64" s="18" t="str">
        <f t="array" ref="K64">IF(ROW()-8&gt;COUNTIFS(Catalog!$B$8:$B$101,"Food",Catalog!$N$8:$N$101,1),"",INDEX(Catalog!$D$8:$D$101,MATCH("Food"&amp;(ROW()-8),Catalog!$O$8:$O$101,0)))</f>
        <v/>
      </c>
    </row>
    <row r="65" ht="15.75" customHeight="1">
      <c r="A65" s="18" t="str">
        <f t="array" ref="A65">IF(ROW()-8&gt;COUNTIFS(Catalog!$B$8:$B$101,"Potions",Catalog!$N$8:$N$101,1),"",INDEX(Catalog!$A$8:$A$101,MATCH("Potions"&amp;(ROW()-8),Catalog!$O$8:$O$101,0)))</f>
        <v/>
      </c>
      <c r="B65" s="18" t="str">
        <f t="array" ref="B65">IF(ROW()-8&gt;COUNTIFS(Catalog!$B$8:$B$101,"Potions",Catalog!$N$8:$N$101,1),"",INDEX(Catalog!$C$8:$C$101,MATCH("Potions"&amp;(ROW()-8),Catalog!$O$8:$O$101,0)))</f>
        <v/>
      </c>
      <c r="C65" s="18" t="str">
        <f t="array" ref="C65">IF(ROW()-8&gt;COUNTIFS(Catalog!$B$8:$B$101,"Potions",Catalog!$N$8:$N$101,1),"",INDEX(Catalog!$D$8:$D$101,MATCH("Potions"&amp;(ROW()-8),Catalog!$O$8:$O$101,0)))</f>
        <v/>
      </c>
      <c r="E65" s="18" t="str">
        <f t="array" ref="E65">IF(ROW()-8&gt;COUNTIFS(Catalog!$B$8:$B$101,"Elixirs",Catalog!$N$8:$N$101,1),"",INDEX(Catalog!$A$8:$A$101,MATCH("Elixirs"&amp;(ROW()-8),Catalog!$O$8:$O$101,0)))</f>
        <v/>
      </c>
      <c r="F65" s="18" t="str">
        <f t="array" ref="F65">IF(ROW()-8&gt;COUNTIFS(Catalog!$B$8:$B$101,"Elixirs",Catalog!$N$8:$N$101,1),"",INDEX(Catalog!$C$8:$C$101,MATCH("Elixirs"&amp;(ROW()-8),Catalog!$O$8:$O$101,0)))</f>
        <v/>
      </c>
      <c r="G65" s="18" t="str">
        <f t="array" ref="G65">IF(ROW()-8&gt;COUNTIFS(Catalog!$B$8:$B$101,"Elixirs",Catalog!$N$8:$N$101,1),"",INDEX(Catalog!$D$8:$D$101,MATCH("Elixirs"&amp;(ROW()-8),Catalog!$O$8:$O$101,0)))</f>
        <v/>
      </c>
      <c r="I65" s="18" t="str">
        <f t="array" ref="I65">IF(ROW()-8&gt;COUNTIFS(Catalog!$B$8:$B$101,"Food",Catalog!$N$8:$N$101,1),"",INDEX(Catalog!$A$8:$A$101,MATCH("Food"&amp;(ROW()-8),Catalog!$O$8:$O$101,0)))</f>
        <v/>
      </c>
      <c r="J65" s="18" t="str">
        <f t="array" ref="J65">IF(ROW()-8&gt;COUNTIFS(Catalog!$B$8:$B$101,"Food",Catalog!$N$8:$N$101,1),"",INDEX(Catalog!$C$8:$C$101,MATCH("Food"&amp;(ROW()-8),Catalog!$O$8:$O$101,0)))</f>
        <v/>
      </c>
      <c r="K65" s="18" t="str">
        <f t="array" ref="K65">IF(ROW()-8&gt;COUNTIFS(Catalog!$B$8:$B$101,"Food",Catalog!$N$8:$N$101,1),"",INDEX(Catalog!$D$8:$D$101,MATCH("Food"&amp;(ROW()-8),Catalog!$O$8:$O$101,0)))</f>
        <v/>
      </c>
    </row>
    <row r="66" ht="15.75" customHeight="1">
      <c r="A66" s="18" t="str">
        <f t="array" ref="A66">IF(ROW()-8&gt;COUNTIFS(Catalog!$B$8:$B$101,"Potions",Catalog!$N$8:$N$101,1),"",INDEX(Catalog!$A$8:$A$101,MATCH("Potions"&amp;(ROW()-8),Catalog!$O$8:$O$101,0)))</f>
        <v/>
      </c>
      <c r="B66" s="18" t="str">
        <f t="array" ref="B66">IF(ROW()-8&gt;COUNTIFS(Catalog!$B$8:$B$101,"Potions",Catalog!$N$8:$N$101,1),"",INDEX(Catalog!$C$8:$C$101,MATCH("Potions"&amp;(ROW()-8),Catalog!$O$8:$O$101,0)))</f>
        <v/>
      </c>
      <c r="C66" s="18" t="str">
        <f t="array" ref="C66">IF(ROW()-8&gt;COUNTIFS(Catalog!$B$8:$B$101,"Potions",Catalog!$N$8:$N$101,1),"",INDEX(Catalog!$D$8:$D$101,MATCH("Potions"&amp;(ROW()-8),Catalog!$O$8:$O$101,0)))</f>
        <v/>
      </c>
      <c r="E66" s="18" t="str">
        <f t="array" ref="E66">IF(ROW()-8&gt;COUNTIFS(Catalog!$B$8:$B$101,"Elixirs",Catalog!$N$8:$N$101,1),"",INDEX(Catalog!$A$8:$A$101,MATCH("Elixirs"&amp;(ROW()-8),Catalog!$O$8:$O$101,0)))</f>
        <v/>
      </c>
      <c r="F66" s="18" t="str">
        <f t="array" ref="F66">IF(ROW()-8&gt;COUNTIFS(Catalog!$B$8:$B$101,"Elixirs",Catalog!$N$8:$N$101,1),"",INDEX(Catalog!$C$8:$C$101,MATCH("Elixirs"&amp;(ROW()-8),Catalog!$O$8:$O$101,0)))</f>
        <v/>
      </c>
      <c r="G66" s="18" t="str">
        <f t="array" ref="G66">IF(ROW()-8&gt;COUNTIFS(Catalog!$B$8:$B$101,"Elixirs",Catalog!$N$8:$N$101,1),"",INDEX(Catalog!$D$8:$D$101,MATCH("Elixirs"&amp;(ROW()-8),Catalog!$O$8:$O$101,0)))</f>
        <v/>
      </c>
      <c r="I66" s="18" t="str">
        <f t="array" ref="I66">IF(ROW()-8&gt;COUNTIFS(Catalog!$B$8:$B$101,"Food",Catalog!$N$8:$N$101,1),"",INDEX(Catalog!$A$8:$A$101,MATCH("Food"&amp;(ROW()-8),Catalog!$O$8:$O$101,0)))</f>
        <v/>
      </c>
      <c r="J66" s="18" t="str">
        <f t="array" ref="J66">IF(ROW()-8&gt;COUNTIFS(Catalog!$B$8:$B$101,"Food",Catalog!$N$8:$N$101,1),"",INDEX(Catalog!$C$8:$C$101,MATCH("Food"&amp;(ROW()-8),Catalog!$O$8:$O$101,0)))</f>
        <v/>
      </c>
      <c r="K66" s="18" t="str">
        <f t="array" ref="K66">IF(ROW()-8&gt;COUNTIFS(Catalog!$B$8:$B$101,"Food",Catalog!$N$8:$N$101,1),"",INDEX(Catalog!$D$8:$D$101,MATCH("Food"&amp;(ROW()-8),Catalog!$O$8:$O$101,0)))</f>
        <v/>
      </c>
    </row>
    <row r="67" ht="15.75" customHeight="1">
      <c r="A67" s="18" t="str">
        <f t="array" ref="A67">IF(ROW()-8&gt;COUNTIFS(Catalog!$B$8:$B$101,"Potions",Catalog!$N$8:$N$101,1),"",INDEX(Catalog!$A$8:$A$101,MATCH("Potions"&amp;(ROW()-8),Catalog!$O$8:$O$101,0)))</f>
        <v/>
      </c>
      <c r="B67" s="18" t="str">
        <f t="array" ref="B67">IF(ROW()-8&gt;COUNTIFS(Catalog!$B$8:$B$101,"Potions",Catalog!$N$8:$N$101,1),"",INDEX(Catalog!$C$8:$C$101,MATCH("Potions"&amp;(ROW()-8),Catalog!$O$8:$O$101,0)))</f>
        <v/>
      </c>
      <c r="C67" s="18" t="str">
        <f t="array" ref="C67">IF(ROW()-8&gt;COUNTIFS(Catalog!$B$8:$B$101,"Potions",Catalog!$N$8:$N$101,1),"",INDEX(Catalog!$D$8:$D$101,MATCH("Potions"&amp;(ROW()-8),Catalog!$O$8:$O$101,0)))</f>
        <v/>
      </c>
      <c r="E67" s="18" t="str">
        <f t="array" ref="E67">IF(ROW()-8&gt;COUNTIFS(Catalog!$B$8:$B$101,"Elixirs",Catalog!$N$8:$N$101,1),"",INDEX(Catalog!$A$8:$A$101,MATCH("Elixirs"&amp;(ROW()-8),Catalog!$O$8:$O$101,0)))</f>
        <v/>
      </c>
      <c r="F67" s="18" t="str">
        <f t="array" ref="F67">IF(ROW()-8&gt;COUNTIFS(Catalog!$B$8:$B$101,"Elixirs",Catalog!$N$8:$N$101,1),"",INDEX(Catalog!$C$8:$C$101,MATCH("Elixirs"&amp;(ROW()-8),Catalog!$O$8:$O$101,0)))</f>
        <v/>
      </c>
      <c r="G67" s="18" t="str">
        <f t="array" ref="G67">IF(ROW()-8&gt;COUNTIFS(Catalog!$B$8:$B$101,"Elixirs",Catalog!$N$8:$N$101,1),"",INDEX(Catalog!$D$8:$D$101,MATCH("Elixirs"&amp;(ROW()-8),Catalog!$O$8:$O$101,0)))</f>
        <v/>
      </c>
      <c r="I67" s="18" t="str">
        <f t="array" ref="I67">IF(ROW()-8&gt;COUNTIFS(Catalog!$B$8:$B$101,"Food",Catalog!$N$8:$N$101,1),"",INDEX(Catalog!$A$8:$A$101,MATCH("Food"&amp;(ROW()-8),Catalog!$O$8:$O$101,0)))</f>
        <v/>
      </c>
      <c r="J67" s="18" t="str">
        <f t="array" ref="J67">IF(ROW()-8&gt;COUNTIFS(Catalog!$B$8:$B$101,"Food",Catalog!$N$8:$N$101,1),"",INDEX(Catalog!$C$8:$C$101,MATCH("Food"&amp;(ROW()-8),Catalog!$O$8:$O$101,0)))</f>
        <v/>
      </c>
      <c r="K67" s="18" t="str">
        <f t="array" ref="K67">IF(ROW()-8&gt;COUNTIFS(Catalog!$B$8:$B$101,"Food",Catalog!$N$8:$N$101,1),"",INDEX(Catalog!$D$8:$D$101,MATCH("Food"&amp;(ROW()-8),Catalog!$O$8:$O$101,0)))</f>
        <v/>
      </c>
    </row>
    <row r="68" ht="15.75" customHeight="1">
      <c r="A68" s="18" t="str">
        <f t="array" ref="A68">IF(ROW()-8&gt;COUNTIFS(Catalog!$B$8:$B$101,"Potions",Catalog!$N$8:$N$101,1),"",INDEX(Catalog!$A$8:$A$101,MATCH("Potions"&amp;(ROW()-8),Catalog!$O$8:$O$101,0)))</f>
        <v/>
      </c>
      <c r="B68" s="18" t="str">
        <f t="array" ref="B68">IF(ROW()-8&gt;COUNTIFS(Catalog!$B$8:$B$101,"Potions",Catalog!$N$8:$N$101,1),"",INDEX(Catalog!$C$8:$C$101,MATCH("Potions"&amp;(ROW()-8),Catalog!$O$8:$O$101,0)))</f>
        <v/>
      </c>
      <c r="C68" s="18" t="str">
        <f t="array" ref="C68">IF(ROW()-8&gt;COUNTIFS(Catalog!$B$8:$B$101,"Potions",Catalog!$N$8:$N$101,1),"",INDEX(Catalog!$D$8:$D$101,MATCH("Potions"&amp;(ROW()-8),Catalog!$O$8:$O$101,0)))</f>
        <v/>
      </c>
      <c r="E68" s="18" t="str">
        <f t="array" ref="E68">IF(ROW()-8&gt;COUNTIFS(Catalog!$B$8:$B$101,"Elixirs",Catalog!$N$8:$N$101,1),"",INDEX(Catalog!$A$8:$A$101,MATCH("Elixirs"&amp;(ROW()-8),Catalog!$O$8:$O$101,0)))</f>
        <v/>
      </c>
      <c r="F68" s="18" t="str">
        <f t="array" ref="F68">IF(ROW()-8&gt;COUNTIFS(Catalog!$B$8:$B$101,"Elixirs",Catalog!$N$8:$N$101,1),"",INDEX(Catalog!$C$8:$C$101,MATCH("Elixirs"&amp;(ROW()-8),Catalog!$O$8:$O$101,0)))</f>
        <v/>
      </c>
      <c r="G68" s="18" t="str">
        <f t="array" ref="G68">IF(ROW()-8&gt;COUNTIFS(Catalog!$B$8:$B$101,"Elixirs",Catalog!$N$8:$N$101,1),"",INDEX(Catalog!$D$8:$D$101,MATCH("Elixirs"&amp;(ROW()-8),Catalog!$O$8:$O$101,0)))</f>
        <v/>
      </c>
      <c r="I68" s="18" t="str">
        <f t="array" ref="I68">IF(ROW()-8&gt;COUNTIFS(Catalog!$B$8:$B$101,"Food",Catalog!$N$8:$N$101,1),"",INDEX(Catalog!$A$8:$A$101,MATCH("Food"&amp;(ROW()-8),Catalog!$O$8:$O$101,0)))</f>
        <v/>
      </c>
      <c r="J68" s="18" t="str">
        <f t="array" ref="J68">IF(ROW()-8&gt;COUNTIFS(Catalog!$B$8:$B$101,"Food",Catalog!$N$8:$N$101,1),"",INDEX(Catalog!$C$8:$C$101,MATCH("Food"&amp;(ROW()-8),Catalog!$O$8:$O$101,0)))</f>
        <v/>
      </c>
      <c r="K68" s="18" t="str">
        <f t="array" ref="K68">IF(ROW()-8&gt;COUNTIFS(Catalog!$B$8:$B$101,"Food",Catalog!$N$8:$N$101,1),"",INDEX(Catalog!$D$8:$D$101,MATCH("Food"&amp;(ROW()-8),Catalog!$O$8:$O$101,0)))</f>
        <v/>
      </c>
    </row>
    <row r="69" ht="15.75" customHeight="1">
      <c r="A69" s="18" t="str">
        <f t="array" ref="A69">IF(ROW()-8&gt;COUNTIFS(Catalog!$B$8:$B$101,"Potions",Catalog!$N$8:$N$101,1),"",INDEX(Catalog!$A$8:$A$101,MATCH("Potions"&amp;(ROW()-8),Catalog!$O$8:$O$101,0)))</f>
        <v/>
      </c>
      <c r="B69" s="18" t="str">
        <f t="array" ref="B69">IF(ROW()-8&gt;COUNTIFS(Catalog!$B$8:$B$101,"Potions",Catalog!$N$8:$N$101,1),"",INDEX(Catalog!$C$8:$C$101,MATCH("Potions"&amp;(ROW()-8),Catalog!$O$8:$O$101,0)))</f>
        <v/>
      </c>
      <c r="C69" s="18" t="str">
        <f t="array" ref="C69">IF(ROW()-8&gt;COUNTIFS(Catalog!$B$8:$B$101,"Potions",Catalog!$N$8:$N$101,1),"",INDEX(Catalog!$D$8:$D$101,MATCH("Potions"&amp;(ROW()-8),Catalog!$O$8:$O$101,0)))</f>
        <v/>
      </c>
      <c r="E69" s="18" t="str">
        <f t="array" ref="E69">IF(ROW()-8&gt;COUNTIFS(Catalog!$B$8:$B$101,"Elixirs",Catalog!$N$8:$N$101,1),"",INDEX(Catalog!$A$8:$A$101,MATCH("Elixirs"&amp;(ROW()-8),Catalog!$O$8:$O$101,0)))</f>
        <v/>
      </c>
      <c r="F69" s="18" t="str">
        <f t="array" ref="F69">IF(ROW()-8&gt;COUNTIFS(Catalog!$B$8:$B$101,"Elixirs",Catalog!$N$8:$N$101,1),"",INDEX(Catalog!$C$8:$C$101,MATCH("Elixirs"&amp;(ROW()-8),Catalog!$O$8:$O$101,0)))</f>
        <v/>
      </c>
      <c r="G69" s="18" t="str">
        <f t="array" ref="G69">IF(ROW()-8&gt;COUNTIFS(Catalog!$B$8:$B$101,"Elixirs",Catalog!$N$8:$N$101,1),"",INDEX(Catalog!$D$8:$D$101,MATCH("Elixirs"&amp;(ROW()-8),Catalog!$O$8:$O$101,0)))</f>
        <v/>
      </c>
      <c r="I69" s="18" t="str">
        <f t="array" ref="I69">IF(ROW()-8&gt;COUNTIFS(Catalog!$B$8:$B$101,"Food",Catalog!$N$8:$N$101,1),"",INDEX(Catalog!$A$8:$A$101,MATCH("Food"&amp;(ROW()-8),Catalog!$O$8:$O$101,0)))</f>
        <v/>
      </c>
      <c r="J69" s="18" t="str">
        <f t="array" ref="J69">IF(ROW()-8&gt;COUNTIFS(Catalog!$B$8:$B$101,"Food",Catalog!$N$8:$N$101,1),"",INDEX(Catalog!$C$8:$C$101,MATCH("Food"&amp;(ROW()-8),Catalog!$O$8:$O$101,0)))</f>
        <v/>
      </c>
      <c r="K69" s="18" t="str">
        <f t="array" ref="K69">IF(ROW()-8&gt;COUNTIFS(Catalog!$B$8:$B$101,"Food",Catalog!$N$8:$N$101,1),"",INDEX(Catalog!$D$8:$D$101,MATCH("Food"&amp;(ROW()-8),Catalog!$O$8:$O$101,0)))</f>
        <v/>
      </c>
    </row>
    <row r="70" ht="15.75" customHeight="1">
      <c r="A70" s="18" t="str">
        <f t="array" ref="A70">IF(ROW()-8&gt;COUNTIFS(Catalog!$B$8:$B$101,"Potions",Catalog!$N$8:$N$101,1),"",INDEX(Catalog!$A$8:$A$101,MATCH("Potions"&amp;(ROW()-8),Catalog!$O$8:$O$101,0)))</f>
        <v/>
      </c>
      <c r="B70" s="18" t="str">
        <f t="array" ref="B70">IF(ROW()-8&gt;COUNTIFS(Catalog!$B$8:$B$101,"Potions",Catalog!$N$8:$N$101,1),"",INDEX(Catalog!$C$8:$C$101,MATCH("Potions"&amp;(ROW()-8),Catalog!$O$8:$O$101,0)))</f>
        <v/>
      </c>
      <c r="C70" s="18" t="str">
        <f t="array" ref="C70">IF(ROW()-8&gt;COUNTIFS(Catalog!$B$8:$B$101,"Potions",Catalog!$N$8:$N$101,1),"",INDEX(Catalog!$D$8:$D$101,MATCH("Potions"&amp;(ROW()-8),Catalog!$O$8:$O$101,0)))</f>
        <v/>
      </c>
      <c r="E70" s="18" t="str">
        <f t="array" ref="E70">IF(ROW()-8&gt;COUNTIFS(Catalog!$B$8:$B$101,"Elixirs",Catalog!$N$8:$N$101,1),"",INDEX(Catalog!$A$8:$A$101,MATCH("Elixirs"&amp;(ROW()-8),Catalog!$O$8:$O$101,0)))</f>
        <v/>
      </c>
      <c r="F70" s="18" t="str">
        <f t="array" ref="F70">IF(ROW()-8&gt;COUNTIFS(Catalog!$B$8:$B$101,"Elixirs",Catalog!$N$8:$N$101,1),"",INDEX(Catalog!$C$8:$C$101,MATCH("Elixirs"&amp;(ROW()-8),Catalog!$O$8:$O$101,0)))</f>
        <v/>
      </c>
      <c r="G70" s="18" t="str">
        <f t="array" ref="G70">IF(ROW()-8&gt;COUNTIFS(Catalog!$B$8:$B$101,"Elixirs",Catalog!$N$8:$N$101,1),"",INDEX(Catalog!$D$8:$D$101,MATCH("Elixirs"&amp;(ROW()-8),Catalog!$O$8:$O$101,0)))</f>
        <v/>
      </c>
      <c r="I70" s="18" t="str">
        <f t="array" ref="I70">IF(ROW()-8&gt;COUNTIFS(Catalog!$B$8:$B$101,"Food",Catalog!$N$8:$N$101,1),"",INDEX(Catalog!$A$8:$A$101,MATCH("Food"&amp;(ROW()-8),Catalog!$O$8:$O$101,0)))</f>
        <v/>
      </c>
      <c r="J70" s="18" t="str">
        <f t="array" ref="J70">IF(ROW()-8&gt;COUNTIFS(Catalog!$B$8:$B$101,"Food",Catalog!$N$8:$N$101,1),"",INDEX(Catalog!$C$8:$C$101,MATCH("Food"&amp;(ROW()-8),Catalog!$O$8:$O$101,0)))</f>
        <v/>
      </c>
      <c r="K70" s="18" t="str">
        <f t="array" ref="K70">IF(ROW()-8&gt;COUNTIFS(Catalog!$B$8:$B$101,"Food",Catalog!$N$8:$N$101,1),"",INDEX(Catalog!$D$8:$D$101,MATCH("Food"&amp;(ROW()-8),Catalog!$O$8:$O$101,0)))</f>
        <v/>
      </c>
    </row>
    <row r="71" ht="15.75" customHeight="1">
      <c r="A71" s="18" t="str">
        <f t="array" ref="A71">IF(ROW()-8&gt;COUNTIFS(Catalog!$B$8:$B$101,"Potions",Catalog!$N$8:$N$101,1),"",INDEX(Catalog!$A$8:$A$101,MATCH("Potions"&amp;(ROW()-8),Catalog!$O$8:$O$101,0)))</f>
        <v/>
      </c>
      <c r="B71" s="18" t="str">
        <f t="array" ref="B71">IF(ROW()-8&gt;COUNTIFS(Catalog!$B$8:$B$101,"Potions",Catalog!$N$8:$N$101,1),"",INDEX(Catalog!$C$8:$C$101,MATCH("Potions"&amp;(ROW()-8),Catalog!$O$8:$O$101,0)))</f>
        <v/>
      </c>
      <c r="C71" s="18" t="str">
        <f t="array" ref="C71">IF(ROW()-8&gt;COUNTIFS(Catalog!$B$8:$B$101,"Potions",Catalog!$N$8:$N$101,1),"",INDEX(Catalog!$D$8:$D$101,MATCH("Potions"&amp;(ROW()-8),Catalog!$O$8:$O$101,0)))</f>
        <v/>
      </c>
      <c r="E71" s="18" t="str">
        <f t="array" ref="E71">IF(ROW()-8&gt;COUNTIFS(Catalog!$B$8:$B$101,"Elixirs",Catalog!$N$8:$N$101,1),"",INDEX(Catalog!$A$8:$A$101,MATCH("Elixirs"&amp;(ROW()-8),Catalog!$O$8:$O$101,0)))</f>
        <v/>
      </c>
      <c r="F71" s="18" t="str">
        <f t="array" ref="F71">IF(ROW()-8&gt;COUNTIFS(Catalog!$B$8:$B$101,"Elixirs",Catalog!$N$8:$N$101,1),"",INDEX(Catalog!$C$8:$C$101,MATCH("Elixirs"&amp;(ROW()-8),Catalog!$O$8:$O$101,0)))</f>
        <v/>
      </c>
      <c r="G71" s="18" t="str">
        <f t="array" ref="G71">IF(ROW()-8&gt;COUNTIFS(Catalog!$B$8:$B$101,"Elixirs",Catalog!$N$8:$N$101,1),"",INDEX(Catalog!$D$8:$D$101,MATCH("Elixirs"&amp;(ROW()-8),Catalog!$O$8:$O$101,0)))</f>
        <v/>
      </c>
      <c r="I71" s="18" t="str">
        <f t="array" ref="I71">IF(ROW()-8&gt;COUNTIFS(Catalog!$B$8:$B$101,"Food",Catalog!$N$8:$N$101,1),"",INDEX(Catalog!$A$8:$A$101,MATCH("Food"&amp;(ROW()-8),Catalog!$O$8:$O$101,0)))</f>
        <v/>
      </c>
      <c r="J71" s="18" t="str">
        <f t="array" ref="J71">IF(ROW()-8&gt;COUNTIFS(Catalog!$B$8:$B$101,"Food",Catalog!$N$8:$N$101,1),"",INDEX(Catalog!$C$8:$C$101,MATCH("Food"&amp;(ROW()-8),Catalog!$O$8:$O$101,0)))</f>
        <v/>
      </c>
      <c r="K71" s="18" t="str">
        <f t="array" ref="K71">IF(ROW()-8&gt;COUNTIFS(Catalog!$B$8:$B$101,"Food",Catalog!$N$8:$N$101,1),"",INDEX(Catalog!$D$8:$D$101,MATCH("Food"&amp;(ROW()-8),Catalog!$O$8:$O$101,0)))</f>
        <v/>
      </c>
    </row>
    <row r="72" ht="15.75" customHeight="1">
      <c r="A72" s="18" t="str">
        <f t="array" ref="A72">IF(ROW()-8&gt;COUNTIFS(Catalog!$B$8:$B$101,"Potions",Catalog!$N$8:$N$101,1),"",INDEX(Catalog!$A$8:$A$101,MATCH("Potions"&amp;(ROW()-8),Catalog!$O$8:$O$101,0)))</f>
        <v/>
      </c>
      <c r="B72" s="18" t="str">
        <f t="array" ref="B72">IF(ROW()-8&gt;COUNTIFS(Catalog!$B$8:$B$101,"Potions",Catalog!$N$8:$N$101,1),"",INDEX(Catalog!$C$8:$C$101,MATCH("Potions"&amp;(ROW()-8),Catalog!$O$8:$O$101,0)))</f>
        <v/>
      </c>
      <c r="C72" s="18" t="str">
        <f t="array" ref="C72">IF(ROW()-8&gt;COUNTIFS(Catalog!$B$8:$B$101,"Potions",Catalog!$N$8:$N$101,1),"",INDEX(Catalog!$D$8:$D$101,MATCH("Potions"&amp;(ROW()-8),Catalog!$O$8:$O$101,0)))</f>
        <v/>
      </c>
      <c r="E72" s="18" t="str">
        <f t="array" ref="E72">IF(ROW()-8&gt;COUNTIFS(Catalog!$B$8:$B$101,"Elixirs",Catalog!$N$8:$N$101,1),"",INDEX(Catalog!$A$8:$A$101,MATCH("Elixirs"&amp;(ROW()-8),Catalog!$O$8:$O$101,0)))</f>
        <v/>
      </c>
      <c r="F72" s="18" t="str">
        <f t="array" ref="F72">IF(ROW()-8&gt;COUNTIFS(Catalog!$B$8:$B$101,"Elixirs",Catalog!$N$8:$N$101,1),"",INDEX(Catalog!$C$8:$C$101,MATCH("Elixirs"&amp;(ROW()-8),Catalog!$O$8:$O$101,0)))</f>
        <v/>
      </c>
      <c r="G72" s="18" t="str">
        <f t="array" ref="G72">IF(ROW()-8&gt;COUNTIFS(Catalog!$B$8:$B$101,"Elixirs",Catalog!$N$8:$N$101,1),"",INDEX(Catalog!$D$8:$D$101,MATCH("Elixirs"&amp;(ROW()-8),Catalog!$O$8:$O$101,0)))</f>
        <v/>
      </c>
      <c r="I72" s="18" t="str">
        <f t="array" ref="I72">IF(ROW()-8&gt;COUNTIFS(Catalog!$B$8:$B$101,"Food",Catalog!$N$8:$N$101,1),"",INDEX(Catalog!$A$8:$A$101,MATCH("Food"&amp;(ROW()-8),Catalog!$O$8:$O$101,0)))</f>
        <v/>
      </c>
      <c r="J72" s="18" t="str">
        <f t="array" ref="J72">IF(ROW()-8&gt;COUNTIFS(Catalog!$B$8:$B$101,"Food",Catalog!$N$8:$N$101,1),"",INDEX(Catalog!$C$8:$C$101,MATCH("Food"&amp;(ROW()-8),Catalog!$O$8:$O$101,0)))</f>
        <v/>
      </c>
      <c r="K72" s="18" t="str">
        <f t="array" ref="K72">IF(ROW()-8&gt;COUNTIFS(Catalog!$B$8:$B$101,"Food",Catalog!$N$8:$N$101,1),"",INDEX(Catalog!$D$8:$D$101,MATCH("Food"&amp;(ROW()-8),Catalog!$O$8:$O$101,0)))</f>
        <v/>
      </c>
    </row>
    <row r="73" ht="15.75" customHeight="1">
      <c r="A73" s="18" t="str">
        <f t="array" ref="A73">IF(ROW()-8&gt;COUNTIFS(Catalog!$B$8:$B$101,"Potions",Catalog!$N$8:$N$101,1),"",INDEX(Catalog!$A$8:$A$101,MATCH("Potions"&amp;(ROW()-8),Catalog!$O$8:$O$101,0)))</f>
        <v/>
      </c>
      <c r="B73" s="18" t="str">
        <f t="array" ref="B73">IF(ROW()-8&gt;COUNTIFS(Catalog!$B$8:$B$101,"Potions",Catalog!$N$8:$N$101,1),"",INDEX(Catalog!$C$8:$C$101,MATCH("Potions"&amp;(ROW()-8),Catalog!$O$8:$O$101,0)))</f>
        <v/>
      </c>
      <c r="C73" s="18" t="str">
        <f t="array" ref="C73">IF(ROW()-8&gt;COUNTIFS(Catalog!$B$8:$B$101,"Potions",Catalog!$N$8:$N$101,1),"",INDEX(Catalog!$D$8:$D$101,MATCH("Potions"&amp;(ROW()-8),Catalog!$O$8:$O$101,0)))</f>
        <v/>
      </c>
      <c r="E73" s="18" t="str">
        <f t="array" ref="E73">IF(ROW()-8&gt;COUNTIFS(Catalog!$B$8:$B$101,"Elixirs",Catalog!$N$8:$N$101,1),"",INDEX(Catalog!$A$8:$A$101,MATCH("Elixirs"&amp;(ROW()-8),Catalog!$O$8:$O$101,0)))</f>
        <v/>
      </c>
      <c r="F73" s="18" t="str">
        <f t="array" ref="F73">IF(ROW()-8&gt;COUNTIFS(Catalog!$B$8:$B$101,"Elixirs",Catalog!$N$8:$N$101,1),"",INDEX(Catalog!$C$8:$C$101,MATCH("Elixirs"&amp;(ROW()-8),Catalog!$O$8:$O$101,0)))</f>
        <v/>
      </c>
      <c r="G73" s="18" t="str">
        <f t="array" ref="G73">IF(ROW()-8&gt;COUNTIFS(Catalog!$B$8:$B$101,"Elixirs",Catalog!$N$8:$N$101,1),"",INDEX(Catalog!$D$8:$D$101,MATCH("Elixirs"&amp;(ROW()-8),Catalog!$O$8:$O$101,0)))</f>
        <v/>
      </c>
      <c r="I73" s="18" t="str">
        <f t="array" ref="I73">IF(ROW()-8&gt;COUNTIFS(Catalog!$B$8:$B$101,"Food",Catalog!$N$8:$N$101,1),"",INDEX(Catalog!$A$8:$A$101,MATCH("Food"&amp;(ROW()-8),Catalog!$O$8:$O$101,0)))</f>
        <v/>
      </c>
      <c r="J73" s="18" t="str">
        <f t="array" ref="J73">IF(ROW()-8&gt;COUNTIFS(Catalog!$B$8:$B$101,"Food",Catalog!$N$8:$N$101,1),"",INDEX(Catalog!$C$8:$C$101,MATCH("Food"&amp;(ROW()-8),Catalog!$O$8:$O$101,0)))</f>
        <v/>
      </c>
      <c r="K73" s="18" t="str">
        <f t="array" ref="K73">IF(ROW()-8&gt;COUNTIFS(Catalog!$B$8:$B$101,"Food",Catalog!$N$8:$N$101,1),"",INDEX(Catalog!$D$8:$D$101,MATCH("Food"&amp;(ROW()-8),Catalog!$O$8:$O$101,0)))</f>
        <v/>
      </c>
    </row>
    <row r="74" ht="15.75" customHeight="1">
      <c r="A74" s="18" t="str">
        <f t="array" ref="A74">IF(ROW()-8&gt;COUNTIFS(Catalog!$B$8:$B$101,"Potions",Catalog!$N$8:$N$101,1),"",INDEX(Catalog!$A$8:$A$101,MATCH("Potions"&amp;(ROW()-8),Catalog!$O$8:$O$101,0)))</f>
        <v/>
      </c>
      <c r="B74" s="18" t="str">
        <f t="array" ref="B74">IF(ROW()-8&gt;COUNTIFS(Catalog!$B$8:$B$101,"Potions",Catalog!$N$8:$N$101,1),"",INDEX(Catalog!$C$8:$C$101,MATCH("Potions"&amp;(ROW()-8),Catalog!$O$8:$O$101,0)))</f>
        <v/>
      </c>
      <c r="C74" s="18" t="str">
        <f t="array" ref="C74">IF(ROW()-8&gt;COUNTIFS(Catalog!$B$8:$B$101,"Potions",Catalog!$N$8:$N$101,1),"",INDEX(Catalog!$D$8:$D$101,MATCH("Potions"&amp;(ROW()-8),Catalog!$O$8:$O$101,0)))</f>
        <v/>
      </c>
      <c r="E74" s="18" t="str">
        <f t="array" ref="E74">IF(ROW()-8&gt;COUNTIFS(Catalog!$B$8:$B$101,"Elixirs",Catalog!$N$8:$N$101,1),"",INDEX(Catalog!$A$8:$A$101,MATCH("Elixirs"&amp;(ROW()-8),Catalog!$O$8:$O$101,0)))</f>
        <v/>
      </c>
      <c r="F74" s="18" t="str">
        <f t="array" ref="F74">IF(ROW()-8&gt;COUNTIFS(Catalog!$B$8:$B$101,"Elixirs",Catalog!$N$8:$N$101,1),"",INDEX(Catalog!$C$8:$C$101,MATCH("Elixirs"&amp;(ROW()-8),Catalog!$O$8:$O$101,0)))</f>
        <v/>
      </c>
      <c r="G74" s="18" t="str">
        <f t="array" ref="G74">IF(ROW()-8&gt;COUNTIFS(Catalog!$B$8:$B$101,"Elixirs",Catalog!$N$8:$N$101,1),"",INDEX(Catalog!$D$8:$D$101,MATCH("Elixirs"&amp;(ROW()-8),Catalog!$O$8:$O$101,0)))</f>
        <v/>
      </c>
      <c r="I74" s="18" t="str">
        <f t="array" ref="I74">IF(ROW()-8&gt;COUNTIFS(Catalog!$B$8:$B$101,"Food",Catalog!$N$8:$N$101,1),"",INDEX(Catalog!$A$8:$A$101,MATCH("Food"&amp;(ROW()-8),Catalog!$O$8:$O$101,0)))</f>
        <v/>
      </c>
      <c r="J74" s="18" t="str">
        <f t="array" ref="J74">IF(ROW()-8&gt;COUNTIFS(Catalog!$B$8:$B$101,"Food",Catalog!$N$8:$N$101,1),"",INDEX(Catalog!$C$8:$C$101,MATCH("Food"&amp;(ROW()-8),Catalog!$O$8:$O$101,0)))</f>
        <v/>
      </c>
      <c r="K74" s="18" t="str">
        <f t="array" ref="K74">IF(ROW()-8&gt;COUNTIFS(Catalog!$B$8:$B$101,"Food",Catalog!$N$8:$N$101,1),"",INDEX(Catalog!$D$8:$D$101,MATCH("Food"&amp;(ROW()-8),Catalog!$O$8:$O$101,0)))</f>
        <v/>
      </c>
    </row>
    <row r="75" ht="15.75" customHeight="1">
      <c r="A75" s="18" t="str">
        <f t="array" ref="A75">IF(ROW()-8&gt;COUNTIFS(Catalog!$B$8:$B$101,"Potions",Catalog!$N$8:$N$101,1),"",INDEX(Catalog!$A$8:$A$101,MATCH("Potions"&amp;(ROW()-8),Catalog!$O$8:$O$101,0)))</f>
        <v/>
      </c>
      <c r="B75" s="18" t="str">
        <f t="array" ref="B75">IF(ROW()-8&gt;COUNTIFS(Catalog!$B$8:$B$101,"Potions",Catalog!$N$8:$N$101,1),"",INDEX(Catalog!$C$8:$C$101,MATCH("Potions"&amp;(ROW()-8),Catalog!$O$8:$O$101,0)))</f>
        <v/>
      </c>
      <c r="C75" s="18" t="str">
        <f t="array" ref="C75">IF(ROW()-8&gt;COUNTIFS(Catalog!$B$8:$B$101,"Potions",Catalog!$N$8:$N$101,1),"",INDEX(Catalog!$D$8:$D$101,MATCH("Potions"&amp;(ROW()-8),Catalog!$O$8:$O$101,0)))</f>
        <v/>
      </c>
      <c r="E75" s="18" t="str">
        <f t="array" ref="E75">IF(ROW()-8&gt;COUNTIFS(Catalog!$B$8:$B$101,"Elixirs",Catalog!$N$8:$N$101,1),"",INDEX(Catalog!$A$8:$A$101,MATCH("Elixirs"&amp;(ROW()-8),Catalog!$O$8:$O$101,0)))</f>
        <v/>
      </c>
      <c r="F75" s="18" t="str">
        <f t="array" ref="F75">IF(ROW()-8&gt;COUNTIFS(Catalog!$B$8:$B$101,"Elixirs",Catalog!$N$8:$N$101,1),"",INDEX(Catalog!$C$8:$C$101,MATCH("Elixirs"&amp;(ROW()-8),Catalog!$O$8:$O$101,0)))</f>
        <v/>
      </c>
      <c r="G75" s="18" t="str">
        <f t="array" ref="G75">IF(ROW()-8&gt;COUNTIFS(Catalog!$B$8:$B$101,"Elixirs",Catalog!$N$8:$N$101,1),"",INDEX(Catalog!$D$8:$D$101,MATCH("Elixirs"&amp;(ROW()-8),Catalog!$O$8:$O$101,0)))</f>
        <v/>
      </c>
      <c r="I75" s="18" t="str">
        <f t="array" ref="I75">IF(ROW()-8&gt;COUNTIFS(Catalog!$B$8:$B$101,"Food",Catalog!$N$8:$N$101,1),"",INDEX(Catalog!$A$8:$A$101,MATCH("Food"&amp;(ROW()-8),Catalog!$O$8:$O$101,0)))</f>
        <v/>
      </c>
      <c r="J75" s="18" t="str">
        <f t="array" ref="J75">IF(ROW()-8&gt;COUNTIFS(Catalog!$B$8:$B$101,"Food",Catalog!$N$8:$N$101,1),"",INDEX(Catalog!$C$8:$C$101,MATCH("Food"&amp;(ROW()-8),Catalog!$O$8:$O$101,0)))</f>
        <v/>
      </c>
      <c r="K75" s="18" t="str">
        <f t="array" ref="K75">IF(ROW()-8&gt;COUNTIFS(Catalog!$B$8:$B$101,"Food",Catalog!$N$8:$N$101,1),"",INDEX(Catalog!$D$8:$D$101,MATCH("Food"&amp;(ROW()-8),Catalog!$O$8:$O$101,0)))</f>
        <v/>
      </c>
    </row>
    <row r="76" ht="15.75" customHeight="1">
      <c r="A76" s="18" t="str">
        <f t="array" ref="A76">IF(ROW()-8&gt;COUNTIFS(Catalog!$B$8:$B$101,"Potions",Catalog!$N$8:$N$101,1),"",INDEX(Catalog!$A$8:$A$101,MATCH("Potions"&amp;(ROW()-8),Catalog!$O$8:$O$101,0)))</f>
        <v/>
      </c>
      <c r="B76" s="18" t="str">
        <f t="array" ref="B76">IF(ROW()-8&gt;COUNTIFS(Catalog!$B$8:$B$101,"Potions",Catalog!$N$8:$N$101,1),"",INDEX(Catalog!$C$8:$C$101,MATCH("Potions"&amp;(ROW()-8),Catalog!$O$8:$O$101,0)))</f>
        <v/>
      </c>
      <c r="C76" s="18" t="str">
        <f t="array" ref="C76">IF(ROW()-8&gt;COUNTIFS(Catalog!$B$8:$B$101,"Potions",Catalog!$N$8:$N$101,1),"",INDEX(Catalog!$D$8:$D$101,MATCH("Potions"&amp;(ROW()-8),Catalog!$O$8:$O$101,0)))</f>
        <v/>
      </c>
      <c r="E76" s="18" t="str">
        <f t="array" ref="E76">IF(ROW()-8&gt;COUNTIFS(Catalog!$B$8:$B$101,"Elixirs",Catalog!$N$8:$N$101,1),"",INDEX(Catalog!$A$8:$A$101,MATCH("Elixirs"&amp;(ROW()-8),Catalog!$O$8:$O$101,0)))</f>
        <v/>
      </c>
      <c r="F76" s="18" t="str">
        <f t="array" ref="F76">IF(ROW()-8&gt;COUNTIFS(Catalog!$B$8:$B$101,"Elixirs",Catalog!$N$8:$N$101,1),"",INDEX(Catalog!$C$8:$C$101,MATCH("Elixirs"&amp;(ROW()-8),Catalog!$O$8:$O$101,0)))</f>
        <v/>
      </c>
      <c r="G76" s="18" t="str">
        <f t="array" ref="G76">IF(ROW()-8&gt;COUNTIFS(Catalog!$B$8:$B$101,"Elixirs",Catalog!$N$8:$N$101,1),"",INDEX(Catalog!$D$8:$D$101,MATCH("Elixirs"&amp;(ROW()-8),Catalog!$O$8:$O$101,0)))</f>
        <v/>
      </c>
      <c r="I76" s="18" t="str">
        <f t="array" ref="I76">IF(ROW()-8&gt;COUNTIFS(Catalog!$B$8:$B$101,"Food",Catalog!$N$8:$N$101,1),"",INDEX(Catalog!$A$8:$A$101,MATCH("Food"&amp;(ROW()-8),Catalog!$O$8:$O$101,0)))</f>
        <v/>
      </c>
      <c r="J76" s="18" t="str">
        <f t="array" ref="J76">IF(ROW()-8&gt;COUNTIFS(Catalog!$B$8:$B$101,"Food",Catalog!$N$8:$N$101,1),"",INDEX(Catalog!$C$8:$C$101,MATCH("Food"&amp;(ROW()-8),Catalog!$O$8:$O$101,0)))</f>
        <v/>
      </c>
      <c r="K76" s="18" t="str">
        <f t="array" ref="K76">IF(ROW()-8&gt;COUNTIFS(Catalog!$B$8:$B$101,"Food",Catalog!$N$8:$N$101,1),"",INDEX(Catalog!$D$8:$D$101,MATCH("Food"&amp;(ROW()-8),Catalog!$O$8:$O$101,0)))</f>
        <v/>
      </c>
    </row>
    <row r="77" ht="15.75" customHeight="1">
      <c r="A77" s="18" t="str">
        <f t="array" ref="A77">IF(ROW()-8&gt;COUNTIFS(Catalog!$B$8:$B$101,"Potions",Catalog!$N$8:$N$101,1),"",INDEX(Catalog!$A$8:$A$101,MATCH("Potions"&amp;(ROW()-8),Catalog!$O$8:$O$101,0)))</f>
        <v/>
      </c>
      <c r="B77" s="18" t="str">
        <f t="array" ref="B77">IF(ROW()-8&gt;COUNTIFS(Catalog!$B$8:$B$101,"Potions",Catalog!$N$8:$N$101,1),"",INDEX(Catalog!$C$8:$C$101,MATCH("Potions"&amp;(ROW()-8),Catalog!$O$8:$O$101,0)))</f>
        <v/>
      </c>
      <c r="C77" s="18" t="str">
        <f t="array" ref="C77">IF(ROW()-8&gt;COUNTIFS(Catalog!$B$8:$B$101,"Potions",Catalog!$N$8:$N$101,1),"",INDEX(Catalog!$D$8:$D$101,MATCH("Potions"&amp;(ROW()-8),Catalog!$O$8:$O$101,0)))</f>
        <v/>
      </c>
      <c r="E77" s="18" t="str">
        <f t="array" ref="E77">IF(ROW()-8&gt;COUNTIFS(Catalog!$B$8:$B$101,"Elixirs",Catalog!$N$8:$N$101,1),"",INDEX(Catalog!$A$8:$A$101,MATCH("Elixirs"&amp;(ROW()-8),Catalog!$O$8:$O$101,0)))</f>
        <v/>
      </c>
      <c r="F77" s="18" t="str">
        <f t="array" ref="F77">IF(ROW()-8&gt;COUNTIFS(Catalog!$B$8:$B$101,"Elixirs",Catalog!$N$8:$N$101,1),"",INDEX(Catalog!$C$8:$C$101,MATCH("Elixirs"&amp;(ROW()-8),Catalog!$O$8:$O$101,0)))</f>
        <v/>
      </c>
      <c r="G77" s="18" t="str">
        <f t="array" ref="G77">IF(ROW()-8&gt;COUNTIFS(Catalog!$B$8:$B$101,"Elixirs",Catalog!$N$8:$N$101,1),"",INDEX(Catalog!$D$8:$D$101,MATCH("Elixirs"&amp;(ROW()-8),Catalog!$O$8:$O$101,0)))</f>
        <v/>
      </c>
      <c r="I77" s="18" t="str">
        <f t="array" ref="I77">IF(ROW()-8&gt;COUNTIFS(Catalog!$B$8:$B$101,"Food",Catalog!$N$8:$N$101,1),"",INDEX(Catalog!$A$8:$A$101,MATCH("Food"&amp;(ROW()-8),Catalog!$O$8:$O$101,0)))</f>
        <v/>
      </c>
      <c r="J77" s="18" t="str">
        <f t="array" ref="J77">IF(ROW()-8&gt;COUNTIFS(Catalog!$B$8:$B$101,"Food",Catalog!$N$8:$N$101,1),"",INDEX(Catalog!$C$8:$C$101,MATCH("Food"&amp;(ROW()-8),Catalog!$O$8:$O$101,0)))</f>
        <v/>
      </c>
      <c r="K77" s="18" t="str">
        <f t="array" ref="K77">IF(ROW()-8&gt;COUNTIFS(Catalog!$B$8:$B$101,"Food",Catalog!$N$8:$N$101,1),"",INDEX(Catalog!$D$8:$D$101,MATCH("Food"&amp;(ROW()-8),Catalog!$O$8:$O$101,0)))</f>
        <v/>
      </c>
    </row>
    <row r="78" ht="15.75" customHeight="1">
      <c r="A78" s="18" t="str">
        <f t="array" ref="A78">IF(ROW()-8&gt;COUNTIFS(Catalog!$B$8:$B$101,"Potions",Catalog!$N$8:$N$101,1),"",INDEX(Catalog!$A$8:$A$101,MATCH("Potions"&amp;(ROW()-8),Catalog!$O$8:$O$101,0)))</f>
        <v/>
      </c>
      <c r="B78" s="18" t="str">
        <f t="array" ref="B78">IF(ROW()-8&gt;COUNTIFS(Catalog!$B$8:$B$101,"Potions",Catalog!$N$8:$N$101,1),"",INDEX(Catalog!$C$8:$C$101,MATCH("Potions"&amp;(ROW()-8),Catalog!$O$8:$O$101,0)))</f>
        <v/>
      </c>
      <c r="C78" s="18" t="str">
        <f t="array" ref="C78">IF(ROW()-8&gt;COUNTIFS(Catalog!$B$8:$B$101,"Potions",Catalog!$N$8:$N$101,1),"",INDEX(Catalog!$D$8:$D$101,MATCH("Potions"&amp;(ROW()-8),Catalog!$O$8:$O$101,0)))</f>
        <v/>
      </c>
      <c r="E78" s="18" t="str">
        <f t="array" ref="E78">IF(ROW()-8&gt;COUNTIFS(Catalog!$B$8:$B$101,"Elixirs",Catalog!$N$8:$N$101,1),"",INDEX(Catalog!$A$8:$A$101,MATCH("Elixirs"&amp;(ROW()-8),Catalog!$O$8:$O$101,0)))</f>
        <v/>
      </c>
      <c r="F78" s="18" t="str">
        <f t="array" ref="F78">IF(ROW()-8&gt;COUNTIFS(Catalog!$B$8:$B$101,"Elixirs",Catalog!$N$8:$N$101,1),"",INDEX(Catalog!$C$8:$C$101,MATCH("Elixirs"&amp;(ROW()-8),Catalog!$O$8:$O$101,0)))</f>
        <v/>
      </c>
      <c r="G78" s="18" t="str">
        <f t="array" ref="G78">IF(ROW()-8&gt;COUNTIFS(Catalog!$B$8:$B$101,"Elixirs",Catalog!$N$8:$N$101,1),"",INDEX(Catalog!$D$8:$D$101,MATCH("Elixirs"&amp;(ROW()-8),Catalog!$O$8:$O$101,0)))</f>
        <v/>
      </c>
      <c r="I78" s="18" t="str">
        <f t="array" ref="I78">IF(ROW()-8&gt;COUNTIFS(Catalog!$B$8:$B$101,"Food",Catalog!$N$8:$N$101,1),"",INDEX(Catalog!$A$8:$A$101,MATCH("Food"&amp;(ROW()-8),Catalog!$O$8:$O$101,0)))</f>
        <v/>
      </c>
      <c r="J78" s="18" t="str">
        <f t="array" ref="J78">IF(ROW()-8&gt;COUNTIFS(Catalog!$B$8:$B$101,"Food",Catalog!$N$8:$N$101,1),"",INDEX(Catalog!$C$8:$C$101,MATCH("Food"&amp;(ROW()-8),Catalog!$O$8:$O$101,0)))</f>
        <v/>
      </c>
      <c r="K78" s="18" t="str">
        <f t="array" ref="K78">IF(ROW()-8&gt;COUNTIFS(Catalog!$B$8:$B$101,"Food",Catalog!$N$8:$N$101,1),"",INDEX(Catalog!$D$8:$D$101,MATCH("Food"&amp;(ROW()-8),Catalog!$O$8:$O$101,0)))</f>
        <v/>
      </c>
    </row>
    <row r="79" ht="15.75" customHeight="1">
      <c r="A79" s="18" t="str">
        <f t="array" ref="A79">IF(ROW()-8&gt;COUNTIFS(Catalog!$B$8:$B$101,"Potions",Catalog!$N$8:$N$101,1),"",INDEX(Catalog!$A$8:$A$101,MATCH("Potions"&amp;(ROW()-8),Catalog!$O$8:$O$101,0)))</f>
        <v/>
      </c>
      <c r="B79" s="18" t="str">
        <f t="array" ref="B79">IF(ROW()-8&gt;COUNTIFS(Catalog!$B$8:$B$101,"Potions",Catalog!$N$8:$N$101,1),"",INDEX(Catalog!$C$8:$C$101,MATCH("Potions"&amp;(ROW()-8),Catalog!$O$8:$O$101,0)))</f>
        <v/>
      </c>
      <c r="C79" s="18" t="str">
        <f t="array" ref="C79">IF(ROW()-8&gt;COUNTIFS(Catalog!$B$8:$B$101,"Potions",Catalog!$N$8:$N$101,1),"",INDEX(Catalog!$D$8:$D$101,MATCH("Potions"&amp;(ROW()-8),Catalog!$O$8:$O$101,0)))</f>
        <v/>
      </c>
      <c r="E79" s="18" t="str">
        <f t="array" ref="E79">IF(ROW()-8&gt;COUNTIFS(Catalog!$B$8:$B$101,"Elixirs",Catalog!$N$8:$N$101,1),"",INDEX(Catalog!$A$8:$A$101,MATCH("Elixirs"&amp;(ROW()-8),Catalog!$O$8:$O$101,0)))</f>
        <v/>
      </c>
      <c r="F79" s="18" t="str">
        <f t="array" ref="F79">IF(ROW()-8&gt;COUNTIFS(Catalog!$B$8:$B$101,"Elixirs",Catalog!$N$8:$N$101,1),"",INDEX(Catalog!$C$8:$C$101,MATCH("Elixirs"&amp;(ROW()-8),Catalog!$O$8:$O$101,0)))</f>
        <v/>
      </c>
      <c r="G79" s="18" t="str">
        <f t="array" ref="G79">IF(ROW()-8&gt;COUNTIFS(Catalog!$B$8:$B$101,"Elixirs",Catalog!$N$8:$N$101,1),"",INDEX(Catalog!$D$8:$D$101,MATCH("Elixirs"&amp;(ROW()-8),Catalog!$O$8:$O$101,0)))</f>
        <v/>
      </c>
      <c r="I79" s="18" t="str">
        <f t="array" ref="I79">IF(ROW()-8&gt;COUNTIFS(Catalog!$B$8:$B$101,"Food",Catalog!$N$8:$N$101,1),"",INDEX(Catalog!$A$8:$A$101,MATCH("Food"&amp;(ROW()-8),Catalog!$O$8:$O$101,0)))</f>
        <v/>
      </c>
      <c r="J79" s="18" t="str">
        <f t="array" ref="J79">IF(ROW()-8&gt;COUNTIFS(Catalog!$B$8:$B$101,"Food",Catalog!$N$8:$N$101,1),"",INDEX(Catalog!$C$8:$C$101,MATCH("Food"&amp;(ROW()-8),Catalog!$O$8:$O$101,0)))</f>
        <v/>
      </c>
      <c r="K79" s="18" t="str">
        <f t="array" ref="K79">IF(ROW()-8&gt;COUNTIFS(Catalog!$B$8:$B$101,"Food",Catalog!$N$8:$N$101,1),"",INDEX(Catalog!$D$8:$D$101,MATCH("Food"&amp;(ROW()-8),Catalog!$O$8:$O$101,0)))</f>
        <v/>
      </c>
    </row>
    <row r="80" ht="15.75" customHeight="1">
      <c r="A80" s="18" t="str">
        <f t="array" ref="A80">IF(ROW()-8&gt;COUNTIFS(Catalog!$B$8:$B$101,"Potions",Catalog!$N$8:$N$101,1),"",INDEX(Catalog!$A$8:$A$101,MATCH("Potions"&amp;(ROW()-8),Catalog!$O$8:$O$101,0)))</f>
        <v/>
      </c>
      <c r="B80" s="18" t="str">
        <f t="array" ref="B80">IF(ROW()-8&gt;COUNTIFS(Catalog!$B$8:$B$101,"Potions",Catalog!$N$8:$N$101,1),"",INDEX(Catalog!$C$8:$C$101,MATCH("Potions"&amp;(ROW()-8),Catalog!$O$8:$O$101,0)))</f>
        <v/>
      </c>
      <c r="C80" s="18" t="str">
        <f t="array" ref="C80">IF(ROW()-8&gt;COUNTIFS(Catalog!$B$8:$B$101,"Potions",Catalog!$N$8:$N$101,1),"",INDEX(Catalog!$D$8:$D$101,MATCH("Potions"&amp;(ROW()-8),Catalog!$O$8:$O$101,0)))</f>
        <v/>
      </c>
      <c r="E80" s="18" t="str">
        <f t="array" ref="E80">IF(ROW()-8&gt;COUNTIFS(Catalog!$B$8:$B$101,"Elixirs",Catalog!$N$8:$N$101,1),"",INDEX(Catalog!$A$8:$A$101,MATCH("Elixirs"&amp;(ROW()-8),Catalog!$O$8:$O$101,0)))</f>
        <v/>
      </c>
      <c r="F80" s="18" t="str">
        <f t="array" ref="F80">IF(ROW()-8&gt;COUNTIFS(Catalog!$B$8:$B$101,"Elixirs",Catalog!$N$8:$N$101,1),"",INDEX(Catalog!$C$8:$C$101,MATCH("Elixirs"&amp;(ROW()-8),Catalog!$O$8:$O$101,0)))</f>
        <v/>
      </c>
      <c r="G80" s="18" t="str">
        <f t="array" ref="G80">IF(ROW()-8&gt;COUNTIFS(Catalog!$B$8:$B$101,"Elixirs",Catalog!$N$8:$N$101,1),"",INDEX(Catalog!$D$8:$D$101,MATCH("Elixirs"&amp;(ROW()-8),Catalog!$O$8:$O$101,0)))</f>
        <v/>
      </c>
      <c r="I80" s="18" t="str">
        <f t="array" ref="I80">IF(ROW()-8&gt;COUNTIFS(Catalog!$B$8:$B$101,"Food",Catalog!$N$8:$N$101,1),"",INDEX(Catalog!$A$8:$A$101,MATCH("Food"&amp;(ROW()-8),Catalog!$O$8:$O$101,0)))</f>
        <v/>
      </c>
      <c r="J80" s="18" t="str">
        <f t="array" ref="J80">IF(ROW()-8&gt;COUNTIFS(Catalog!$B$8:$B$101,"Food",Catalog!$N$8:$N$101,1),"",INDEX(Catalog!$C$8:$C$101,MATCH("Food"&amp;(ROW()-8),Catalog!$O$8:$O$101,0)))</f>
        <v/>
      </c>
      <c r="K80" s="18" t="str">
        <f t="array" ref="K80">IF(ROW()-8&gt;COUNTIFS(Catalog!$B$8:$B$101,"Food",Catalog!$N$8:$N$101,1),"",INDEX(Catalog!$D$8:$D$101,MATCH("Food"&amp;(ROW()-8),Catalog!$O$8:$O$101,0)))</f>
        <v/>
      </c>
    </row>
    <row r="81" ht="15.75" customHeight="1">
      <c r="A81" s="18" t="str">
        <f t="array" ref="A81">IF(ROW()-8&gt;COUNTIFS(Catalog!$B$8:$B$101,"Potions",Catalog!$N$8:$N$101,1),"",INDEX(Catalog!$A$8:$A$101,MATCH("Potions"&amp;(ROW()-8),Catalog!$O$8:$O$101,0)))</f>
        <v/>
      </c>
      <c r="B81" s="18" t="str">
        <f t="array" ref="B81">IF(ROW()-8&gt;COUNTIFS(Catalog!$B$8:$B$101,"Potions",Catalog!$N$8:$N$101,1),"",INDEX(Catalog!$C$8:$C$101,MATCH("Potions"&amp;(ROW()-8),Catalog!$O$8:$O$101,0)))</f>
        <v/>
      </c>
      <c r="C81" s="18" t="str">
        <f t="array" ref="C81">IF(ROW()-8&gt;COUNTIFS(Catalog!$B$8:$B$101,"Potions",Catalog!$N$8:$N$101,1),"",INDEX(Catalog!$D$8:$D$101,MATCH("Potions"&amp;(ROW()-8),Catalog!$O$8:$O$101,0)))</f>
        <v/>
      </c>
      <c r="E81" s="18" t="str">
        <f t="array" ref="E81">IF(ROW()-8&gt;COUNTIFS(Catalog!$B$8:$B$101,"Elixirs",Catalog!$N$8:$N$101,1),"",INDEX(Catalog!$A$8:$A$101,MATCH("Elixirs"&amp;(ROW()-8),Catalog!$O$8:$O$101,0)))</f>
        <v/>
      </c>
      <c r="F81" s="18" t="str">
        <f t="array" ref="F81">IF(ROW()-8&gt;COUNTIFS(Catalog!$B$8:$B$101,"Elixirs",Catalog!$N$8:$N$101,1),"",INDEX(Catalog!$C$8:$C$101,MATCH("Elixirs"&amp;(ROW()-8),Catalog!$O$8:$O$101,0)))</f>
        <v/>
      </c>
      <c r="G81" s="18" t="str">
        <f t="array" ref="G81">IF(ROW()-8&gt;COUNTIFS(Catalog!$B$8:$B$101,"Elixirs",Catalog!$N$8:$N$101,1),"",INDEX(Catalog!$D$8:$D$101,MATCH("Elixirs"&amp;(ROW()-8),Catalog!$O$8:$O$101,0)))</f>
        <v/>
      </c>
      <c r="I81" s="18" t="str">
        <f t="array" ref="I81">IF(ROW()-8&gt;COUNTIFS(Catalog!$B$8:$B$101,"Food",Catalog!$N$8:$N$101,1),"",INDEX(Catalog!$A$8:$A$101,MATCH("Food"&amp;(ROW()-8),Catalog!$O$8:$O$101,0)))</f>
        <v/>
      </c>
      <c r="J81" s="18" t="str">
        <f t="array" ref="J81">IF(ROW()-8&gt;COUNTIFS(Catalog!$B$8:$B$101,"Food",Catalog!$N$8:$N$101,1),"",INDEX(Catalog!$C$8:$C$101,MATCH("Food"&amp;(ROW()-8),Catalog!$O$8:$O$101,0)))</f>
        <v/>
      </c>
      <c r="K81" s="18" t="str">
        <f t="array" ref="K81">IF(ROW()-8&gt;COUNTIFS(Catalog!$B$8:$B$101,"Food",Catalog!$N$8:$N$101,1),"",INDEX(Catalog!$D$8:$D$101,MATCH("Food"&amp;(ROW()-8),Catalog!$O$8:$O$101,0)))</f>
        <v/>
      </c>
    </row>
    <row r="82" ht="15.75" customHeight="1">
      <c r="A82" s="18" t="str">
        <f t="array" ref="A82">IF(ROW()-8&gt;COUNTIFS(Catalog!$B$8:$B$101,"Potions",Catalog!$N$8:$N$101,1),"",INDEX(Catalog!$A$8:$A$101,MATCH("Potions"&amp;(ROW()-8),Catalog!$O$8:$O$101,0)))</f>
        <v/>
      </c>
      <c r="B82" s="18" t="str">
        <f t="array" ref="B82">IF(ROW()-8&gt;COUNTIFS(Catalog!$B$8:$B$101,"Potions",Catalog!$N$8:$N$101,1),"",INDEX(Catalog!$C$8:$C$101,MATCH("Potions"&amp;(ROW()-8),Catalog!$O$8:$O$101,0)))</f>
        <v/>
      </c>
      <c r="C82" s="18" t="str">
        <f t="array" ref="C82">IF(ROW()-8&gt;COUNTIFS(Catalog!$B$8:$B$101,"Potions",Catalog!$N$8:$N$101,1),"",INDEX(Catalog!$D$8:$D$101,MATCH("Potions"&amp;(ROW()-8),Catalog!$O$8:$O$101,0)))</f>
        <v/>
      </c>
      <c r="E82" s="18" t="str">
        <f t="array" ref="E82">IF(ROW()-8&gt;COUNTIFS(Catalog!$B$8:$B$101,"Elixirs",Catalog!$N$8:$N$101,1),"",INDEX(Catalog!$A$8:$A$101,MATCH("Elixirs"&amp;(ROW()-8),Catalog!$O$8:$O$101,0)))</f>
        <v/>
      </c>
      <c r="F82" s="18" t="str">
        <f t="array" ref="F82">IF(ROW()-8&gt;COUNTIFS(Catalog!$B$8:$B$101,"Elixirs",Catalog!$N$8:$N$101,1),"",INDEX(Catalog!$C$8:$C$101,MATCH("Elixirs"&amp;(ROW()-8),Catalog!$O$8:$O$101,0)))</f>
        <v/>
      </c>
      <c r="G82" s="18" t="str">
        <f t="array" ref="G82">IF(ROW()-8&gt;COUNTIFS(Catalog!$B$8:$B$101,"Elixirs",Catalog!$N$8:$N$101,1),"",INDEX(Catalog!$D$8:$D$101,MATCH("Elixirs"&amp;(ROW()-8),Catalog!$O$8:$O$101,0)))</f>
        <v/>
      </c>
      <c r="I82" s="18" t="str">
        <f t="array" ref="I82">IF(ROW()-8&gt;COUNTIFS(Catalog!$B$8:$B$101,"Food",Catalog!$N$8:$N$101,1),"",INDEX(Catalog!$A$8:$A$101,MATCH("Food"&amp;(ROW()-8),Catalog!$O$8:$O$101,0)))</f>
        <v/>
      </c>
      <c r="J82" s="18" t="str">
        <f t="array" ref="J82">IF(ROW()-8&gt;COUNTIFS(Catalog!$B$8:$B$101,"Food",Catalog!$N$8:$N$101,1),"",INDEX(Catalog!$C$8:$C$101,MATCH("Food"&amp;(ROW()-8),Catalog!$O$8:$O$101,0)))</f>
        <v/>
      </c>
      <c r="K82" s="18" t="str">
        <f t="array" ref="K82">IF(ROW()-8&gt;COUNTIFS(Catalog!$B$8:$B$101,"Food",Catalog!$N$8:$N$101,1),"",INDEX(Catalog!$D$8:$D$101,MATCH("Food"&amp;(ROW()-8),Catalog!$O$8:$O$101,0)))</f>
        <v/>
      </c>
    </row>
    <row r="83" ht="15.75" customHeight="1">
      <c r="A83" s="18" t="str">
        <f t="array" ref="A83">IF(ROW()-8&gt;COUNTIFS(Catalog!$B$8:$B$101,"Potions",Catalog!$N$8:$N$101,1),"",INDEX(Catalog!$A$8:$A$101,MATCH("Potions"&amp;(ROW()-8),Catalog!$O$8:$O$101,0)))</f>
        <v/>
      </c>
      <c r="B83" s="18" t="str">
        <f t="array" ref="B83">IF(ROW()-8&gt;COUNTIFS(Catalog!$B$8:$B$101,"Potions",Catalog!$N$8:$N$101,1),"",INDEX(Catalog!$C$8:$C$101,MATCH("Potions"&amp;(ROW()-8),Catalog!$O$8:$O$101,0)))</f>
        <v/>
      </c>
      <c r="C83" s="18" t="str">
        <f t="array" ref="C83">IF(ROW()-8&gt;COUNTIFS(Catalog!$B$8:$B$101,"Potions",Catalog!$N$8:$N$101,1),"",INDEX(Catalog!$D$8:$D$101,MATCH("Potions"&amp;(ROW()-8),Catalog!$O$8:$O$101,0)))</f>
        <v/>
      </c>
      <c r="E83" s="18" t="str">
        <f t="array" ref="E83">IF(ROW()-8&gt;COUNTIFS(Catalog!$B$8:$B$101,"Elixirs",Catalog!$N$8:$N$101,1),"",INDEX(Catalog!$A$8:$A$101,MATCH("Elixirs"&amp;(ROW()-8),Catalog!$O$8:$O$101,0)))</f>
        <v/>
      </c>
      <c r="F83" s="18" t="str">
        <f t="array" ref="F83">IF(ROW()-8&gt;COUNTIFS(Catalog!$B$8:$B$101,"Elixirs",Catalog!$N$8:$N$101,1),"",INDEX(Catalog!$C$8:$C$101,MATCH("Elixirs"&amp;(ROW()-8),Catalog!$O$8:$O$101,0)))</f>
        <v/>
      </c>
      <c r="G83" s="18" t="str">
        <f t="array" ref="G83">IF(ROW()-8&gt;COUNTIFS(Catalog!$B$8:$B$101,"Elixirs",Catalog!$N$8:$N$101,1),"",INDEX(Catalog!$D$8:$D$101,MATCH("Elixirs"&amp;(ROW()-8),Catalog!$O$8:$O$101,0)))</f>
        <v/>
      </c>
      <c r="I83" s="18" t="str">
        <f t="array" ref="I83">IF(ROW()-8&gt;COUNTIFS(Catalog!$B$8:$B$101,"Food",Catalog!$N$8:$N$101,1),"",INDEX(Catalog!$A$8:$A$101,MATCH("Food"&amp;(ROW()-8),Catalog!$O$8:$O$101,0)))</f>
        <v/>
      </c>
      <c r="J83" s="18" t="str">
        <f t="array" ref="J83">IF(ROW()-8&gt;COUNTIFS(Catalog!$B$8:$B$101,"Food",Catalog!$N$8:$N$101,1),"",INDEX(Catalog!$C$8:$C$101,MATCH("Food"&amp;(ROW()-8),Catalog!$O$8:$O$101,0)))</f>
        <v/>
      </c>
      <c r="K83" s="18" t="str">
        <f t="array" ref="K83">IF(ROW()-8&gt;COUNTIFS(Catalog!$B$8:$B$101,"Food",Catalog!$N$8:$N$101,1),"",INDEX(Catalog!$D$8:$D$101,MATCH("Food"&amp;(ROW()-8),Catalog!$O$8:$O$101,0)))</f>
        <v/>
      </c>
    </row>
    <row r="84" ht="15.75" customHeight="1">
      <c r="A84" s="18" t="str">
        <f t="array" ref="A84">IF(ROW()-8&gt;COUNTIFS(Catalog!$B$8:$B$101,"Potions",Catalog!$N$8:$N$101,1),"",INDEX(Catalog!$A$8:$A$101,MATCH("Potions"&amp;(ROW()-8),Catalog!$O$8:$O$101,0)))</f>
        <v/>
      </c>
      <c r="B84" s="18" t="str">
        <f t="array" ref="B84">IF(ROW()-8&gt;COUNTIFS(Catalog!$B$8:$B$101,"Potions",Catalog!$N$8:$N$101,1),"",INDEX(Catalog!$C$8:$C$101,MATCH("Potions"&amp;(ROW()-8),Catalog!$O$8:$O$101,0)))</f>
        <v/>
      </c>
      <c r="C84" s="18" t="str">
        <f t="array" ref="C84">IF(ROW()-8&gt;COUNTIFS(Catalog!$B$8:$B$101,"Potions",Catalog!$N$8:$N$101,1),"",INDEX(Catalog!$D$8:$D$101,MATCH("Potions"&amp;(ROW()-8),Catalog!$O$8:$O$101,0)))</f>
        <v/>
      </c>
      <c r="E84" s="18" t="str">
        <f t="array" ref="E84">IF(ROW()-8&gt;COUNTIFS(Catalog!$B$8:$B$101,"Elixirs",Catalog!$N$8:$N$101,1),"",INDEX(Catalog!$A$8:$A$101,MATCH("Elixirs"&amp;(ROW()-8),Catalog!$O$8:$O$101,0)))</f>
        <v/>
      </c>
      <c r="F84" s="18" t="str">
        <f t="array" ref="F84">IF(ROW()-8&gt;COUNTIFS(Catalog!$B$8:$B$101,"Elixirs",Catalog!$N$8:$N$101,1),"",INDEX(Catalog!$C$8:$C$101,MATCH("Elixirs"&amp;(ROW()-8),Catalog!$O$8:$O$101,0)))</f>
        <v/>
      </c>
      <c r="G84" s="18" t="str">
        <f t="array" ref="G84">IF(ROW()-8&gt;COUNTIFS(Catalog!$B$8:$B$101,"Elixirs",Catalog!$N$8:$N$101,1),"",INDEX(Catalog!$D$8:$D$101,MATCH("Elixirs"&amp;(ROW()-8),Catalog!$O$8:$O$101,0)))</f>
        <v/>
      </c>
      <c r="I84" s="18" t="str">
        <f t="array" ref="I84">IF(ROW()-8&gt;COUNTIFS(Catalog!$B$8:$B$101,"Food",Catalog!$N$8:$N$101,1),"",INDEX(Catalog!$A$8:$A$101,MATCH("Food"&amp;(ROW()-8),Catalog!$O$8:$O$101,0)))</f>
        <v/>
      </c>
      <c r="J84" s="18" t="str">
        <f t="array" ref="J84">IF(ROW()-8&gt;COUNTIFS(Catalog!$B$8:$B$101,"Food",Catalog!$N$8:$N$101,1),"",INDEX(Catalog!$C$8:$C$101,MATCH("Food"&amp;(ROW()-8),Catalog!$O$8:$O$101,0)))</f>
        <v/>
      </c>
      <c r="K84" s="18" t="str">
        <f t="array" ref="K84">IF(ROW()-8&gt;COUNTIFS(Catalog!$B$8:$B$101,"Food",Catalog!$N$8:$N$101,1),"",INDEX(Catalog!$D$8:$D$101,MATCH("Food"&amp;(ROW()-8),Catalog!$O$8:$O$101,0)))</f>
        <v/>
      </c>
    </row>
    <row r="85" ht="15.75" customHeight="1">
      <c r="A85" s="18" t="str">
        <f t="array" ref="A85">IF(ROW()-8&gt;COUNTIFS(Catalog!$B$8:$B$101,"Potions",Catalog!$N$8:$N$101,1),"",INDEX(Catalog!$A$8:$A$101,MATCH("Potions"&amp;(ROW()-8),Catalog!$O$8:$O$101,0)))</f>
        <v/>
      </c>
      <c r="B85" s="18" t="str">
        <f t="array" ref="B85">IF(ROW()-8&gt;COUNTIFS(Catalog!$B$8:$B$101,"Potions",Catalog!$N$8:$N$101,1),"",INDEX(Catalog!$C$8:$C$101,MATCH("Potions"&amp;(ROW()-8),Catalog!$O$8:$O$101,0)))</f>
        <v/>
      </c>
      <c r="C85" s="18" t="str">
        <f t="array" ref="C85">IF(ROW()-8&gt;COUNTIFS(Catalog!$B$8:$B$101,"Potions",Catalog!$N$8:$N$101,1),"",INDEX(Catalog!$D$8:$D$101,MATCH("Potions"&amp;(ROW()-8),Catalog!$O$8:$O$101,0)))</f>
        <v/>
      </c>
      <c r="E85" s="18" t="str">
        <f t="array" ref="E85">IF(ROW()-8&gt;COUNTIFS(Catalog!$B$8:$B$101,"Elixirs",Catalog!$N$8:$N$101,1),"",INDEX(Catalog!$A$8:$A$101,MATCH("Elixirs"&amp;(ROW()-8),Catalog!$O$8:$O$101,0)))</f>
        <v/>
      </c>
      <c r="F85" s="18" t="str">
        <f t="array" ref="F85">IF(ROW()-8&gt;COUNTIFS(Catalog!$B$8:$B$101,"Elixirs",Catalog!$N$8:$N$101,1),"",INDEX(Catalog!$C$8:$C$101,MATCH("Elixirs"&amp;(ROW()-8),Catalog!$O$8:$O$101,0)))</f>
        <v/>
      </c>
      <c r="G85" s="18" t="str">
        <f t="array" ref="G85">IF(ROW()-8&gt;COUNTIFS(Catalog!$B$8:$B$101,"Elixirs",Catalog!$N$8:$N$101,1),"",INDEX(Catalog!$D$8:$D$101,MATCH("Elixirs"&amp;(ROW()-8),Catalog!$O$8:$O$101,0)))</f>
        <v/>
      </c>
      <c r="I85" s="18" t="str">
        <f t="array" ref="I85">IF(ROW()-8&gt;COUNTIFS(Catalog!$B$8:$B$101,"Food",Catalog!$N$8:$N$101,1),"",INDEX(Catalog!$A$8:$A$101,MATCH("Food"&amp;(ROW()-8),Catalog!$O$8:$O$101,0)))</f>
        <v/>
      </c>
      <c r="J85" s="18" t="str">
        <f t="array" ref="J85">IF(ROW()-8&gt;COUNTIFS(Catalog!$B$8:$B$101,"Food",Catalog!$N$8:$N$101,1),"",INDEX(Catalog!$C$8:$C$101,MATCH("Food"&amp;(ROW()-8),Catalog!$O$8:$O$101,0)))</f>
        <v/>
      </c>
      <c r="K85" s="18" t="str">
        <f t="array" ref="K85">IF(ROW()-8&gt;COUNTIFS(Catalog!$B$8:$B$101,"Food",Catalog!$N$8:$N$101,1),"",INDEX(Catalog!$D$8:$D$101,MATCH("Food"&amp;(ROW()-8),Catalog!$O$8:$O$101,0)))</f>
        <v/>
      </c>
    </row>
    <row r="86" ht="15.75" customHeight="1">
      <c r="A86" s="18" t="str">
        <f t="array" ref="A86">IF(ROW()-8&gt;COUNTIFS(Catalog!$B$8:$B$101,"Potions",Catalog!$N$8:$N$101,1),"",INDEX(Catalog!$A$8:$A$101,MATCH("Potions"&amp;(ROW()-8),Catalog!$O$8:$O$101,0)))</f>
        <v/>
      </c>
      <c r="B86" s="18" t="str">
        <f t="array" ref="B86">IF(ROW()-8&gt;COUNTIFS(Catalog!$B$8:$B$101,"Potions",Catalog!$N$8:$N$101,1),"",INDEX(Catalog!$C$8:$C$101,MATCH("Potions"&amp;(ROW()-8),Catalog!$O$8:$O$101,0)))</f>
        <v/>
      </c>
      <c r="C86" s="18" t="str">
        <f t="array" ref="C86">IF(ROW()-8&gt;COUNTIFS(Catalog!$B$8:$B$101,"Potions",Catalog!$N$8:$N$101,1),"",INDEX(Catalog!$D$8:$D$101,MATCH("Potions"&amp;(ROW()-8),Catalog!$O$8:$O$101,0)))</f>
        <v/>
      </c>
      <c r="E86" s="18" t="str">
        <f t="array" ref="E86">IF(ROW()-8&gt;COUNTIFS(Catalog!$B$8:$B$101,"Elixirs",Catalog!$N$8:$N$101,1),"",INDEX(Catalog!$A$8:$A$101,MATCH("Elixirs"&amp;(ROW()-8),Catalog!$O$8:$O$101,0)))</f>
        <v/>
      </c>
      <c r="F86" s="18" t="str">
        <f t="array" ref="F86">IF(ROW()-8&gt;COUNTIFS(Catalog!$B$8:$B$101,"Elixirs",Catalog!$N$8:$N$101,1),"",INDEX(Catalog!$C$8:$C$101,MATCH("Elixirs"&amp;(ROW()-8),Catalog!$O$8:$O$101,0)))</f>
        <v/>
      </c>
      <c r="G86" s="18" t="str">
        <f t="array" ref="G86">IF(ROW()-8&gt;COUNTIFS(Catalog!$B$8:$B$101,"Elixirs",Catalog!$N$8:$N$101,1),"",INDEX(Catalog!$D$8:$D$101,MATCH("Elixirs"&amp;(ROW()-8),Catalog!$O$8:$O$101,0)))</f>
        <v/>
      </c>
      <c r="I86" s="18" t="str">
        <f t="array" ref="I86">IF(ROW()-8&gt;COUNTIFS(Catalog!$B$8:$B$101,"Food",Catalog!$N$8:$N$101,1),"",INDEX(Catalog!$A$8:$A$101,MATCH("Food"&amp;(ROW()-8),Catalog!$O$8:$O$101,0)))</f>
        <v/>
      </c>
      <c r="J86" s="18" t="str">
        <f t="array" ref="J86">IF(ROW()-8&gt;COUNTIFS(Catalog!$B$8:$B$101,"Food",Catalog!$N$8:$N$101,1),"",INDEX(Catalog!$C$8:$C$101,MATCH("Food"&amp;(ROW()-8),Catalog!$O$8:$O$101,0)))</f>
        <v/>
      </c>
      <c r="K86" s="18" t="str">
        <f t="array" ref="K86">IF(ROW()-8&gt;COUNTIFS(Catalog!$B$8:$B$101,"Food",Catalog!$N$8:$N$101,1),"",INDEX(Catalog!$D$8:$D$101,MATCH("Food"&amp;(ROW()-8),Catalog!$O$8:$O$101,0)))</f>
        <v/>
      </c>
    </row>
    <row r="87" ht="15.75" customHeight="1">
      <c r="A87" s="18" t="str">
        <f t="array" ref="A87">IF(ROW()-8&gt;COUNTIFS(Catalog!$B$8:$B$101,"Potions",Catalog!$N$8:$N$101,1),"",INDEX(Catalog!$A$8:$A$101,MATCH("Potions"&amp;(ROW()-8),Catalog!$O$8:$O$101,0)))</f>
        <v/>
      </c>
      <c r="B87" s="18" t="str">
        <f t="array" ref="B87">IF(ROW()-8&gt;COUNTIFS(Catalog!$B$8:$B$101,"Potions",Catalog!$N$8:$N$101,1),"",INDEX(Catalog!$C$8:$C$101,MATCH("Potions"&amp;(ROW()-8),Catalog!$O$8:$O$101,0)))</f>
        <v/>
      </c>
      <c r="C87" s="18" t="str">
        <f t="array" ref="C87">IF(ROW()-8&gt;COUNTIFS(Catalog!$B$8:$B$101,"Potions",Catalog!$N$8:$N$101,1),"",INDEX(Catalog!$D$8:$D$101,MATCH("Potions"&amp;(ROW()-8),Catalog!$O$8:$O$101,0)))</f>
        <v/>
      </c>
      <c r="E87" s="18" t="str">
        <f t="array" ref="E87">IF(ROW()-8&gt;COUNTIFS(Catalog!$B$8:$B$101,"Elixirs",Catalog!$N$8:$N$101,1),"",INDEX(Catalog!$A$8:$A$101,MATCH("Elixirs"&amp;(ROW()-8),Catalog!$O$8:$O$101,0)))</f>
        <v/>
      </c>
      <c r="F87" s="18" t="str">
        <f t="array" ref="F87">IF(ROW()-8&gt;COUNTIFS(Catalog!$B$8:$B$101,"Elixirs",Catalog!$N$8:$N$101,1),"",INDEX(Catalog!$C$8:$C$101,MATCH("Elixirs"&amp;(ROW()-8),Catalog!$O$8:$O$101,0)))</f>
        <v/>
      </c>
      <c r="G87" s="18" t="str">
        <f t="array" ref="G87">IF(ROW()-8&gt;COUNTIFS(Catalog!$B$8:$B$101,"Elixirs",Catalog!$N$8:$N$101,1),"",INDEX(Catalog!$D$8:$D$101,MATCH("Elixirs"&amp;(ROW()-8),Catalog!$O$8:$O$101,0)))</f>
        <v/>
      </c>
      <c r="I87" s="18" t="str">
        <f t="array" ref="I87">IF(ROW()-8&gt;COUNTIFS(Catalog!$B$8:$B$101,"Food",Catalog!$N$8:$N$101,1),"",INDEX(Catalog!$A$8:$A$101,MATCH("Food"&amp;(ROW()-8),Catalog!$O$8:$O$101,0)))</f>
        <v/>
      </c>
      <c r="J87" s="18" t="str">
        <f t="array" ref="J87">IF(ROW()-8&gt;COUNTIFS(Catalog!$B$8:$B$101,"Food",Catalog!$N$8:$N$101,1),"",INDEX(Catalog!$C$8:$C$101,MATCH("Food"&amp;(ROW()-8),Catalog!$O$8:$O$101,0)))</f>
        <v/>
      </c>
      <c r="K87" s="18" t="str">
        <f t="array" ref="K87">IF(ROW()-8&gt;COUNTIFS(Catalog!$B$8:$B$101,"Food",Catalog!$N$8:$N$101,1),"",INDEX(Catalog!$D$8:$D$101,MATCH("Food"&amp;(ROW()-8),Catalog!$O$8:$O$101,0)))</f>
        <v/>
      </c>
    </row>
    <row r="88" ht="15.75" customHeight="1">
      <c r="A88" s="18" t="str">
        <f t="array" ref="A88">IF(ROW()-8&gt;COUNTIFS(Catalog!$B$8:$B$101,"Potions",Catalog!$N$8:$N$101,1),"",INDEX(Catalog!$A$8:$A$101,MATCH("Potions"&amp;(ROW()-8),Catalog!$O$8:$O$101,0)))</f>
        <v/>
      </c>
      <c r="B88" s="18" t="str">
        <f t="array" ref="B88">IF(ROW()-8&gt;COUNTIFS(Catalog!$B$8:$B$101,"Potions",Catalog!$N$8:$N$101,1),"",INDEX(Catalog!$C$8:$C$101,MATCH("Potions"&amp;(ROW()-8),Catalog!$O$8:$O$101,0)))</f>
        <v/>
      </c>
      <c r="C88" s="18" t="str">
        <f t="array" ref="C88">IF(ROW()-8&gt;COUNTIFS(Catalog!$B$8:$B$101,"Potions",Catalog!$N$8:$N$101,1),"",INDEX(Catalog!$D$8:$D$101,MATCH("Potions"&amp;(ROW()-8),Catalog!$O$8:$O$101,0)))</f>
        <v/>
      </c>
      <c r="E88" s="18" t="str">
        <f t="array" ref="E88">IF(ROW()-8&gt;COUNTIFS(Catalog!$B$8:$B$101,"Elixirs",Catalog!$N$8:$N$101,1),"",INDEX(Catalog!$A$8:$A$101,MATCH("Elixirs"&amp;(ROW()-8),Catalog!$O$8:$O$101,0)))</f>
        <v/>
      </c>
      <c r="F88" s="18" t="str">
        <f t="array" ref="F88">IF(ROW()-8&gt;COUNTIFS(Catalog!$B$8:$B$101,"Elixirs",Catalog!$N$8:$N$101,1),"",INDEX(Catalog!$C$8:$C$101,MATCH("Elixirs"&amp;(ROW()-8),Catalog!$O$8:$O$101,0)))</f>
        <v/>
      </c>
      <c r="G88" s="18" t="str">
        <f t="array" ref="G88">IF(ROW()-8&gt;COUNTIFS(Catalog!$B$8:$B$101,"Elixirs",Catalog!$N$8:$N$101,1),"",INDEX(Catalog!$D$8:$D$101,MATCH("Elixirs"&amp;(ROW()-8),Catalog!$O$8:$O$101,0)))</f>
        <v/>
      </c>
      <c r="I88" s="18" t="str">
        <f t="array" ref="I88">IF(ROW()-8&gt;COUNTIFS(Catalog!$B$8:$B$101,"Food",Catalog!$N$8:$N$101,1),"",INDEX(Catalog!$A$8:$A$101,MATCH("Food"&amp;(ROW()-8),Catalog!$O$8:$O$101,0)))</f>
        <v/>
      </c>
      <c r="J88" s="18" t="str">
        <f t="array" ref="J88">IF(ROW()-8&gt;COUNTIFS(Catalog!$B$8:$B$101,"Food",Catalog!$N$8:$N$101,1),"",INDEX(Catalog!$C$8:$C$101,MATCH("Food"&amp;(ROW()-8),Catalog!$O$8:$O$101,0)))</f>
        <v/>
      </c>
      <c r="K88" s="18" t="str">
        <f t="array" ref="K88">IF(ROW()-8&gt;COUNTIFS(Catalog!$B$8:$B$101,"Food",Catalog!$N$8:$N$101,1),"",INDEX(Catalog!$D$8:$D$101,MATCH("Food"&amp;(ROW()-8),Catalog!$O$8:$O$101,0)))</f>
        <v/>
      </c>
    </row>
    <row r="89" ht="15.75" customHeight="1">
      <c r="A89" s="18" t="str">
        <f t="array" ref="A89">IF(ROW()-8&gt;COUNTIFS(Catalog!$B$8:$B$101,"Potions",Catalog!$N$8:$N$101,1),"",INDEX(Catalog!$A$8:$A$101,MATCH("Potions"&amp;(ROW()-8),Catalog!$O$8:$O$101,0)))</f>
        <v/>
      </c>
      <c r="B89" s="18" t="str">
        <f t="array" ref="B89">IF(ROW()-8&gt;COUNTIFS(Catalog!$B$8:$B$101,"Potions",Catalog!$N$8:$N$101,1),"",INDEX(Catalog!$C$8:$C$101,MATCH("Potions"&amp;(ROW()-8),Catalog!$O$8:$O$101,0)))</f>
        <v/>
      </c>
      <c r="C89" s="18" t="str">
        <f t="array" ref="C89">IF(ROW()-8&gt;COUNTIFS(Catalog!$B$8:$B$101,"Potions",Catalog!$N$8:$N$101,1),"",INDEX(Catalog!$D$8:$D$101,MATCH("Potions"&amp;(ROW()-8),Catalog!$O$8:$O$101,0)))</f>
        <v/>
      </c>
      <c r="E89" s="18" t="str">
        <f t="array" ref="E89">IF(ROW()-8&gt;COUNTIFS(Catalog!$B$8:$B$101,"Elixirs",Catalog!$N$8:$N$101,1),"",INDEX(Catalog!$A$8:$A$101,MATCH("Elixirs"&amp;(ROW()-8),Catalog!$O$8:$O$101,0)))</f>
        <v/>
      </c>
      <c r="F89" s="18" t="str">
        <f t="array" ref="F89">IF(ROW()-8&gt;COUNTIFS(Catalog!$B$8:$B$101,"Elixirs",Catalog!$N$8:$N$101,1),"",INDEX(Catalog!$C$8:$C$101,MATCH("Elixirs"&amp;(ROW()-8),Catalog!$O$8:$O$101,0)))</f>
        <v/>
      </c>
      <c r="G89" s="18" t="str">
        <f t="array" ref="G89">IF(ROW()-8&gt;COUNTIFS(Catalog!$B$8:$B$101,"Elixirs",Catalog!$N$8:$N$101,1),"",INDEX(Catalog!$D$8:$D$101,MATCH("Elixirs"&amp;(ROW()-8),Catalog!$O$8:$O$101,0)))</f>
        <v/>
      </c>
      <c r="I89" s="18" t="str">
        <f t="array" ref="I89">IF(ROW()-8&gt;COUNTIFS(Catalog!$B$8:$B$101,"Food",Catalog!$N$8:$N$101,1),"",INDEX(Catalog!$A$8:$A$101,MATCH("Food"&amp;(ROW()-8),Catalog!$O$8:$O$101,0)))</f>
        <v/>
      </c>
      <c r="J89" s="18" t="str">
        <f t="array" ref="J89">IF(ROW()-8&gt;COUNTIFS(Catalog!$B$8:$B$101,"Food",Catalog!$N$8:$N$101,1),"",INDEX(Catalog!$C$8:$C$101,MATCH("Food"&amp;(ROW()-8),Catalog!$O$8:$O$101,0)))</f>
        <v/>
      </c>
      <c r="K89" s="18" t="str">
        <f t="array" ref="K89">IF(ROW()-8&gt;COUNTIFS(Catalog!$B$8:$B$101,"Food",Catalog!$N$8:$N$101,1),"",INDEX(Catalog!$D$8:$D$101,MATCH("Food"&amp;(ROW()-8),Catalog!$O$8:$O$101,0)))</f>
        <v/>
      </c>
    </row>
    <row r="90" ht="15.75" customHeight="1">
      <c r="A90" s="18" t="str">
        <f t="array" ref="A90">IF(ROW()-8&gt;COUNTIFS(Catalog!$B$8:$B$101,"Potions",Catalog!$N$8:$N$101,1),"",INDEX(Catalog!$A$8:$A$101,MATCH("Potions"&amp;(ROW()-8),Catalog!$O$8:$O$101,0)))</f>
        <v/>
      </c>
      <c r="B90" s="18" t="str">
        <f t="array" ref="B90">IF(ROW()-8&gt;COUNTIFS(Catalog!$B$8:$B$101,"Potions",Catalog!$N$8:$N$101,1),"",INDEX(Catalog!$C$8:$C$101,MATCH("Potions"&amp;(ROW()-8),Catalog!$O$8:$O$101,0)))</f>
        <v/>
      </c>
      <c r="C90" s="18" t="str">
        <f t="array" ref="C90">IF(ROW()-8&gt;COUNTIFS(Catalog!$B$8:$B$101,"Potions",Catalog!$N$8:$N$101,1),"",INDEX(Catalog!$D$8:$D$101,MATCH("Potions"&amp;(ROW()-8),Catalog!$O$8:$O$101,0)))</f>
        <v/>
      </c>
      <c r="E90" s="18" t="str">
        <f t="array" ref="E90">IF(ROW()-8&gt;COUNTIFS(Catalog!$B$8:$B$101,"Elixirs",Catalog!$N$8:$N$101,1),"",INDEX(Catalog!$A$8:$A$101,MATCH("Elixirs"&amp;(ROW()-8),Catalog!$O$8:$O$101,0)))</f>
        <v/>
      </c>
      <c r="F90" s="18" t="str">
        <f t="array" ref="F90">IF(ROW()-8&gt;COUNTIFS(Catalog!$B$8:$B$101,"Elixirs",Catalog!$N$8:$N$101,1),"",INDEX(Catalog!$C$8:$C$101,MATCH("Elixirs"&amp;(ROW()-8),Catalog!$O$8:$O$101,0)))</f>
        <v/>
      </c>
      <c r="G90" s="18" t="str">
        <f t="array" ref="G90">IF(ROW()-8&gt;COUNTIFS(Catalog!$B$8:$B$101,"Elixirs",Catalog!$N$8:$N$101,1),"",INDEX(Catalog!$D$8:$D$101,MATCH("Elixirs"&amp;(ROW()-8),Catalog!$O$8:$O$101,0)))</f>
        <v/>
      </c>
      <c r="I90" s="18" t="str">
        <f t="array" ref="I90">IF(ROW()-8&gt;COUNTIFS(Catalog!$B$8:$B$101,"Food",Catalog!$N$8:$N$101,1),"",INDEX(Catalog!$A$8:$A$101,MATCH("Food"&amp;(ROW()-8),Catalog!$O$8:$O$101,0)))</f>
        <v/>
      </c>
      <c r="J90" s="18" t="str">
        <f t="array" ref="J90">IF(ROW()-8&gt;COUNTIFS(Catalog!$B$8:$B$101,"Food",Catalog!$N$8:$N$101,1),"",INDEX(Catalog!$C$8:$C$101,MATCH("Food"&amp;(ROW()-8),Catalog!$O$8:$O$101,0)))</f>
        <v/>
      </c>
      <c r="K90" s="18" t="str">
        <f t="array" ref="K90">IF(ROW()-8&gt;COUNTIFS(Catalog!$B$8:$B$101,"Food",Catalog!$N$8:$N$101,1),"",INDEX(Catalog!$D$8:$D$101,MATCH("Food"&amp;(ROW()-8),Catalog!$O$8:$O$101,0)))</f>
        <v/>
      </c>
    </row>
    <row r="91" ht="15.75" customHeight="1">
      <c r="A91" s="18" t="str">
        <f t="array" ref="A91">IF(ROW()-8&gt;COUNTIFS(Catalog!$B$8:$B$101,"Potions",Catalog!$N$8:$N$101,1),"",INDEX(Catalog!$A$8:$A$101,MATCH("Potions"&amp;(ROW()-8),Catalog!$O$8:$O$101,0)))</f>
        <v/>
      </c>
      <c r="B91" s="18" t="str">
        <f t="array" ref="B91">IF(ROW()-8&gt;COUNTIFS(Catalog!$B$8:$B$101,"Potions",Catalog!$N$8:$N$101,1),"",INDEX(Catalog!$C$8:$C$101,MATCH("Potions"&amp;(ROW()-8),Catalog!$O$8:$O$101,0)))</f>
        <v/>
      </c>
      <c r="C91" s="18" t="str">
        <f t="array" ref="C91">IF(ROW()-8&gt;COUNTIFS(Catalog!$B$8:$B$101,"Potions",Catalog!$N$8:$N$101,1),"",INDEX(Catalog!$D$8:$D$101,MATCH("Potions"&amp;(ROW()-8),Catalog!$O$8:$O$101,0)))</f>
        <v/>
      </c>
      <c r="E91" s="18" t="str">
        <f t="array" ref="E91">IF(ROW()-8&gt;COUNTIFS(Catalog!$B$8:$B$101,"Elixirs",Catalog!$N$8:$N$101,1),"",INDEX(Catalog!$A$8:$A$101,MATCH("Elixirs"&amp;(ROW()-8),Catalog!$O$8:$O$101,0)))</f>
        <v/>
      </c>
      <c r="F91" s="18" t="str">
        <f t="array" ref="F91">IF(ROW()-8&gt;COUNTIFS(Catalog!$B$8:$B$101,"Elixirs",Catalog!$N$8:$N$101,1),"",INDEX(Catalog!$C$8:$C$101,MATCH("Elixirs"&amp;(ROW()-8),Catalog!$O$8:$O$101,0)))</f>
        <v/>
      </c>
      <c r="G91" s="18" t="str">
        <f t="array" ref="G91">IF(ROW()-8&gt;COUNTIFS(Catalog!$B$8:$B$101,"Elixirs",Catalog!$N$8:$N$101,1),"",INDEX(Catalog!$D$8:$D$101,MATCH("Elixirs"&amp;(ROW()-8),Catalog!$O$8:$O$101,0)))</f>
        <v/>
      </c>
      <c r="I91" s="18" t="str">
        <f t="array" ref="I91">IF(ROW()-8&gt;COUNTIFS(Catalog!$B$8:$B$101,"Food",Catalog!$N$8:$N$101,1),"",INDEX(Catalog!$A$8:$A$101,MATCH("Food"&amp;(ROW()-8),Catalog!$O$8:$O$101,0)))</f>
        <v/>
      </c>
      <c r="J91" s="18" t="str">
        <f t="array" ref="J91">IF(ROW()-8&gt;COUNTIFS(Catalog!$B$8:$B$101,"Food",Catalog!$N$8:$N$101,1),"",INDEX(Catalog!$C$8:$C$101,MATCH("Food"&amp;(ROW()-8),Catalog!$O$8:$O$101,0)))</f>
        <v/>
      </c>
      <c r="K91" s="18" t="str">
        <f t="array" ref="K91">IF(ROW()-8&gt;COUNTIFS(Catalog!$B$8:$B$101,"Food",Catalog!$N$8:$N$101,1),"",INDEX(Catalog!$D$8:$D$101,MATCH("Food"&amp;(ROW()-8),Catalog!$O$8:$O$101,0)))</f>
        <v/>
      </c>
    </row>
    <row r="92" ht="15.75" customHeight="1">
      <c r="A92" s="18" t="str">
        <f t="array" ref="A92">IF(ROW()-8&gt;COUNTIFS(Catalog!$B$8:$B$101,"Potions",Catalog!$N$8:$N$101,1),"",INDEX(Catalog!$A$8:$A$101,MATCH("Potions"&amp;(ROW()-8),Catalog!$O$8:$O$101,0)))</f>
        <v/>
      </c>
      <c r="B92" s="18" t="str">
        <f t="array" ref="B92">IF(ROW()-8&gt;COUNTIFS(Catalog!$B$8:$B$101,"Potions",Catalog!$N$8:$N$101,1),"",INDEX(Catalog!$C$8:$C$101,MATCH("Potions"&amp;(ROW()-8),Catalog!$O$8:$O$101,0)))</f>
        <v/>
      </c>
      <c r="C92" s="18" t="str">
        <f t="array" ref="C92">IF(ROW()-8&gt;COUNTIFS(Catalog!$B$8:$B$101,"Potions",Catalog!$N$8:$N$101,1),"",INDEX(Catalog!$D$8:$D$101,MATCH("Potions"&amp;(ROW()-8),Catalog!$O$8:$O$101,0)))</f>
        <v/>
      </c>
      <c r="E92" s="18" t="str">
        <f t="array" ref="E92">IF(ROW()-8&gt;COUNTIFS(Catalog!$B$8:$B$101,"Elixirs",Catalog!$N$8:$N$101,1),"",INDEX(Catalog!$A$8:$A$101,MATCH("Elixirs"&amp;(ROW()-8),Catalog!$O$8:$O$101,0)))</f>
        <v/>
      </c>
      <c r="F92" s="18" t="str">
        <f t="array" ref="F92">IF(ROW()-8&gt;COUNTIFS(Catalog!$B$8:$B$101,"Elixirs",Catalog!$N$8:$N$101,1),"",INDEX(Catalog!$C$8:$C$101,MATCH("Elixirs"&amp;(ROW()-8),Catalog!$O$8:$O$101,0)))</f>
        <v/>
      </c>
      <c r="G92" s="18" t="str">
        <f t="array" ref="G92">IF(ROW()-8&gt;COUNTIFS(Catalog!$B$8:$B$101,"Elixirs",Catalog!$N$8:$N$101,1),"",INDEX(Catalog!$D$8:$D$101,MATCH("Elixirs"&amp;(ROW()-8),Catalog!$O$8:$O$101,0)))</f>
        <v/>
      </c>
      <c r="I92" s="18" t="str">
        <f t="array" ref="I92">IF(ROW()-8&gt;COUNTIFS(Catalog!$B$8:$B$101,"Food",Catalog!$N$8:$N$101,1),"",INDEX(Catalog!$A$8:$A$101,MATCH("Food"&amp;(ROW()-8),Catalog!$O$8:$O$101,0)))</f>
        <v/>
      </c>
      <c r="J92" s="18" t="str">
        <f t="array" ref="J92">IF(ROW()-8&gt;COUNTIFS(Catalog!$B$8:$B$101,"Food",Catalog!$N$8:$N$101,1),"",INDEX(Catalog!$C$8:$C$101,MATCH("Food"&amp;(ROW()-8),Catalog!$O$8:$O$101,0)))</f>
        <v/>
      </c>
      <c r="K92" s="18" t="str">
        <f t="array" ref="K92">IF(ROW()-8&gt;COUNTIFS(Catalog!$B$8:$B$101,"Food",Catalog!$N$8:$N$101,1),"",INDEX(Catalog!$D$8:$D$101,MATCH("Food"&amp;(ROW()-8),Catalog!$O$8:$O$101,0)))</f>
        <v/>
      </c>
    </row>
    <row r="93" ht="15.75" customHeight="1">
      <c r="A93" s="18" t="str">
        <f t="array" ref="A93">IF(ROW()-8&gt;COUNTIFS(Catalog!$B$8:$B$101,"Potions",Catalog!$N$8:$N$101,1),"",INDEX(Catalog!$A$8:$A$101,MATCH("Potions"&amp;(ROW()-8),Catalog!$O$8:$O$101,0)))</f>
        <v/>
      </c>
      <c r="B93" s="18" t="str">
        <f t="array" ref="B93">IF(ROW()-8&gt;COUNTIFS(Catalog!$B$8:$B$101,"Potions",Catalog!$N$8:$N$101,1),"",INDEX(Catalog!$C$8:$C$101,MATCH("Potions"&amp;(ROW()-8),Catalog!$O$8:$O$101,0)))</f>
        <v/>
      </c>
      <c r="C93" s="18" t="str">
        <f t="array" ref="C93">IF(ROW()-8&gt;COUNTIFS(Catalog!$B$8:$B$101,"Potions",Catalog!$N$8:$N$101,1),"",INDEX(Catalog!$D$8:$D$101,MATCH("Potions"&amp;(ROW()-8),Catalog!$O$8:$O$101,0)))</f>
        <v/>
      </c>
      <c r="E93" s="18" t="str">
        <f t="array" ref="E93">IF(ROW()-8&gt;COUNTIFS(Catalog!$B$8:$B$101,"Elixirs",Catalog!$N$8:$N$101,1),"",INDEX(Catalog!$A$8:$A$101,MATCH("Elixirs"&amp;(ROW()-8),Catalog!$O$8:$O$101,0)))</f>
        <v/>
      </c>
      <c r="F93" s="18" t="str">
        <f t="array" ref="F93">IF(ROW()-8&gt;COUNTIFS(Catalog!$B$8:$B$101,"Elixirs",Catalog!$N$8:$N$101,1),"",INDEX(Catalog!$C$8:$C$101,MATCH("Elixirs"&amp;(ROW()-8),Catalog!$O$8:$O$101,0)))</f>
        <v/>
      </c>
      <c r="G93" s="18" t="str">
        <f t="array" ref="G93">IF(ROW()-8&gt;COUNTIFS(Catalog!$B$8:$B$101,"Elixirs",Catalog!$N$8:$N$101,1),"",INDEX(Catalog!$D$8:$D$101,MATCH("Elixirs"&amp;(ROW()-8),Catalog!$O$8:$O$101,0)))</f>
        <v/>
      </c>
      <c r="I93" s="18" t="str">
        <f t="array" ref="I93">IF(ROW()-8&gt;COUNTIFS(Catalog!$B$8:$B$101,"Food",Catalog!$N$8:$N$101,1),"",INDEX(Catalog!$A$8:$A$101,MATCH("Food"&amp;(ROW()-8),Catalog!$O$8:$O$101,0)))</f>
        <v/>
      </c>
      <c r="J93" s="18" t="str">
        <f t="array" ref="J93">IF(ROW()-8&gt;COUNTIFS(Catalog!$B$8:$B$101,"Food",Catalog!$N$8:$N$101,1),"",INDEX(Catalog!$C$8:$C$101,MATCH("Food"&amp;(ROW()-8),Catalog!$O$8:$O$101,0)))</f>
        <v/>
      </c>
      <c r="K93" s="18" t="str">
        <f t="array" ref="K93">IF(ROW()-8&gt;COUNTIFS(Catalog!$B$8:$B$101,"Food",Catalog!$N$8:$N$101,1),"",INDEX(Catalog!$D$8:$D$101,MATCH("Food"&amp;(ROW()-8),Catalog!$O$8:$O$101,0)))</f>
        <v/>
      </c>
    </row>
    <row r="94" ht="15.75" customHeight="1">
      <c r="A94" s="18" t="str">
        <f t="array" ref="A94">IF(ROW()-8&gt;COUNTIFS(Catalog!$B$8:$B$101,"Potions",Catalog!$N$8:$N$101,1),"",INDEX(Catalog!$A$8:$A$101,MATCH("Potions"&amp;(ROW()-8),Catalog!$O$8:$O$101,0)))</f>
        <v/>
      </c>
      <c r="B94" s="18" t="str">
        <f t="array" ref="B94">IF(ROW()-8&gt;COUNTIFS(Catalog!$B$8:$B$101,"Potions",Catalog!$N$8:$N$101,1),"",INDEX(Catalog!$C$8:$C$101,MATCH("Potions"&amp;(ROW()-8),Catalog!$O$8:$O$101,0)))</f>
        <v/>
      </c>
      <c r="C94" s="18" t="str">
        <f t="array" ref="C94">IF(ROW()-8&gt;COUNTIFS(Catalog!$B$8:$B$101,"Potions",Catalog!$N$8:$N$101,1),"",INDEX(Catalog!$D$8:$D$101,MATCH("Potions"&amp;(ROW()-8),Catalog!$O$8:$O$101,0)))</f>
        <v/>
      </c>
      <c r="E94" s="18" t="str">
        <f t="array" ref="E94">IF(ROW()-8&gt;COUNTIFS(Catalog!$B$8:$B$101,"Elixirs",Catalog!$N$8:$N$101,1),"",INDEX(Catalog!$A$8:$A$101,MATCH("Elixirs"&amp;(ROW()-8),Catalog!$O$8:$O$101,0)))</f>
        <v/>
      </c>
      <c r="F94" s="18" t="str">
        <f t="array" ref="F94">IF(ROW()-8&gt;COUNTIFS(Catalog!$B$8:$B$101,"Elixirs",Catalog!$N$8:$N$101,1),"",INDEX(Catalog!$C$8:$C$101,MATCH("Elixirs"&amp;(ROW()-8),Catalog!$O$8:$O$101,0)))</f>
        <v/>
      </c>
      <c r="G94" s="18" t="str">
        <f t="array" ref="G94">IF(ROW()-8&gt;COUNTIFS(Catalog!$B$8:$B$101,"Elixirs",Catalog!$N$8:$N$101,1),"",INDEX(Catalog!$D$8:$D$101,MATCH("Elixirs"&amp;(ROW()-8),Catalog!$O$8:$O$101,0)))</f>
        <v/>
      </c>
      <c r="I94" s="18" t="str">
        <f t="array" ref="I94">IF(ROW()-8&gt;COUNTIFS(Catalog!$B$8:$B$101,"Food",Catalog!$N$8:$N$101,1),"",INDEX(Catalog!$A$8:$A$101,MATCH("Food"&amp;(ROW()-8),Catalog!$O$8:$O$101,0)))</f>
        <v/>
      </c>
      <c r="J94" s="18" t="str">
        <f t="array" ref="J94">IF(ROW()-8&gt;COUNTIFS(Catalog!$B$8:$B$101,"Food",Catalog!$N$8:$N$101,1),"",INDEX(Catalog!$C$8:$C$101,MATCH("Food"&amp;(ROW()-8),Catalog!$O$8:$O$101,0)))</f>
        <v/>
      </c>
      <c r="K94" s="18" t="str">
        <f t="array" ref="K94">IF(ROW()-8&gt;COUNTIFS(Catalog!$B$8:$B$101,"Food",Catalog!$N$8:$N$101,1),"",INDEX(Catalog!$D$8:$D$101,MATCH("Food"&amp;(ROW()-8),Catalog!$O$8:$O$101,0)))</f>
        <v/>
      </c>
    </row>
    <row r="95" ht="15.75" customHeight="1">
      <c r="A95" s="18" t="str">
        <f t="array" ref="A95">IF(ROW()-8&gt;COUNTIFS(Catalog!$B$8:$B$101,"Potions",Catalog!$N$8:$N$101,1),"",INDEX(Catalog!$A$8:$A$101,MATCH("Potions"&amp;(ROW()-8),Catalog!$O$8:$O$101,0)))</f>
        <v/>
      </c>
      <c r="B95" s="18" t="str">
        <f t="array" ref="B95">IF(ROW()-8&gt;COUNTIFS(Catalog!$B$8:$B$101,"Potions",Catalog!$N$8:$N$101,1),"",INDEX(Catalog!$C$8:$C$101,MATCH("Potions"&amp;(ROW()-8),Catalog!$O$8:$O$101,0)))</f>
        <v/>
      </c>
      <c r="C95" s="18" t="str">
        <f t="array" ref="C95">IF(ROW()-8&gt;COUNTIFS(Catalog!$B$8:$B$101,"Potions",Catalog!$N$8:$N$101,1),"",INDEX(Catalog!$D$8:$D$101,MATCH("Potions"&amp;(ROW()-8),Catalog!$O$8:$O$101,0)))</f>
        <v/>
      </c>
      <c r="E95" s="18" t="str">
        <f t="array" ref="E95">IF(ROW()-8&gt;COUNTIFS(Catalog!$B$8:$B$101,"Elixirs",Catalog!$N$8:$N$101,1),"",INDEX(Catalog!$A$8:$A$101,MATCH("Elixirs"&amp;(ROW()-8),Catalog!$O$8:$O$101,0)))</f>
        <v/>
      </c>
      <c r="F95" s="18" t="str">
        <f t="array" ref="F95">IF(ROW()-8&gt;COUNTIFS(Catalog!$B$8:$B$101,"Elixirs",Catalog!$N$8:$N$101,1),"",INDEX(Catalog!$C$8:$C$101,MATCH("Elixirs"&amp;(ROW()-8),Catalog!$O$8:$O$101,0)))</f>
        <v/>
      </c>
      <c r="G95" s="18" t="str">
        <f t="array" ref="G95">IF(ROW()-8&gt;COUNTIFS(Catalog!$B$8:$B$101,"Elixirs",Catalog!$N$8:$N$101,1),"",INDEX(Catalog!$D$8:$D$101,MATCH("Elixirs"&amp;(ROW()-8),Catalog!$O$8:$O$101,0)))</f>
        <v/>
      </c>
      <c r="I95" s="18" t="str">
        <f t="array" ref="I95">IF(ROW()-8&gt;COUNTIFS(Catalog!$B$8:$B$101,"Food",Catalog!$N$8:$N$101,1),"",INDEX(Catalog!$A$8:$A$101,MATCH("Food"&amp;(ROW()-8),Catalog!$O$8:$O$101,0)))</f>
        <v/>
      </c>
      <c r="J95" s="18" t="str">
        <f t="array" ref="J95">IF(ROW()-8&gt;COUNTIFS(Catalog!$B$8:$B$101,"Food",Catalog!$N$8:$N$101,1),"",INDEX(Catalog!$C$8:$C$101,MATCH("Food"&amp;(ROW()-8),Catalog!$O$8:$O$101,0)))</f>
        <v/>
      </c>
      <c r="K95" s="18" t="str">
        <f t="array" ref="K95">IF(ROW()-8&gt;COUNTIFS(Catalog!$B$8:$B$101,"Food",Catalog!$N$8:$N$101,1),"",INDEX(Catalog!$D$8:$D$101,MATCH("Food"&amp;(ROW()-8),Catalog!$O$8:$O$101,0)))</f>
        <v/>
      </c>
    </row>
    <row r="96" ht="15.75" customHeight="1">
      <c r="A96" s="18" t="str">
        <f t="array" ref="A96">IF(ROW()-8&gt;COUNTIFS(Catalog!$B$8:$B$101,"Potions",Catalog!$N$8:$N$101,1),"",INDEX(Catalog!$A$8:$A$101,MATCH("Potions"&amp;(ROW()-8),Catalog!$O$8:$O$101,0)))</f>
        <v/>
      </c>
      <c r="B96" s="18" t="str">
        <f t="array" ref="B96">IF(ROW()-8&gt;COUNTIFS(Catalog!$B$8:$B$101,"Potions",Catalog!$N$8:$N$101,1),"",INDEX(Catalog!$C$8:$C$101,MATCH("Potions"&amp;(ROW()-8),Catalog!$O$8:$O$101,0)))</f>
        <v/>
      </c>
      <c r="C96" s="18" t="str">
        <f t="array" ref="C96">IF(ROW()-8&gt;COUNTIFS(Catalog!$B$8:$B$101,"Potions",Catalog!$N$8:$N$101,1),"",INDEX(Catalog!$D$8:$D$101,MATCH("Potions"&amp;(ROW()-8),Catalog!$O$8:$O$101,0)))</f>
        <v/>
      </c>
      <c r="E96" s="18" t="str">
        <f t="array" ref="E96">IF(ROW()-8&gt;COUNTIFS(Catalog!$B$8:$B$101,"Elixirs",Catalog!$N$8:$N$101,1),"",INDEX(Catalog!$A$8:$A$101,MATCH("Elixirs"&amp;(ROW()-8),Catalog!$O$8:$O$101,0)))</f>
        <v/>
      </c>
      <c r="F96" s="18" t="str">
        <f t="array" ref="F96">IF(ROW()-8&gt;COUNTIFS(Catalog!$B$8:$B$101,"Elixirs",Catalog!$N$8:$N$101,1),"",INDEX(Catalog!$C$8:$C$101,MATCH("Elixirs"&amp;(ROW()-8),Catalog!$O$8:$O$101,0)))</f>
        <v/>
      </c>
      <c r="G96" s="18" t="str">
        <f t="array" ref="G96">IF(ROW()-8&gt;COUNTIFS(Catalog!$B$8:$B$101,"Elixirs",Catalog!$N$8:$N$101,1),"",INDEX(Catalog!$D$8:$D$101,MATCH("Elixirs"&amp;(ROW()-8),Catalog!$O$8:$O$101,0)))</f>
        <v/>
      </c>
      <c r="I96" s="18" t="str">
        <f t="array" ref="I96">IF(ROW()-8&gt;COUNTIFS(Catalog!$B$8:$B$101,"Food",Catalog!$N$8:$N$101,1),"",INDEX(Catalog!$A$8:$A$101,MATCH("Food"&amp;(ROW()-8),Catalog!$O$8:$O$101,0)))</f>
        <v/>
      </c>
      <c r="J96" s="18" t="str">
        <f t="array" ref="J96">IF(ROW()-8&gt;COUNTIFS(Catalog!$B$8:$B$101,"Food",Catalog!$N$8:$N$101,1),"",INDEX(Catalog!$C$8:$C$101,MATCH("Food"&amp;(ROW()-8),Catalog!$O$8:$O$101,0)))</f>
        <v/>
      </c>
      <c r="K96" s="18" t="str">
        <f t="array" ref="K96">IF(ROW()-8&gt;COUNTIFS(Catalog!$B$8:$B$101,"Food",Catalog!$N$8:$N$101,1),"",INDEX(Catalog!$D$8:$D$101,MATCH("Food"&amp;(ROW()-8),Catalog!$O$8:$O$101,0)))</f>
        <v/>
      </c>
    </row>
    <row r="97" ht="15.75" customHeight="1">
      <c r="A97" s="18" t="str">
        <f t="array" ref="A97">IF(ROW()-8&gt;COUNTIFS(Catalog!$B$8:$B$101,"Potions",Catalog!$N$8:$N$101,1),"",INDEX(Catalog!$A$8:$A$101,MATCH("Potions"&amp;(ROW()-8),Catalog!$O$8:$O$101,0)))</f>
        <v/>
      </c>
      <c r="B97" s="18" t="str">
        <f t="array" ref="B97">IF(ROW()-8&gt;COUNTIFS(Catalog!$B$8:$B$101,"Potions",Catalog!$N$8:$N$101,1),"",INDEX(Catalog!$C$8:$C$101,MATCH("Potions"&amp;(ROW()-8),Catalog!$O$8:$O$101,0)))</f>
        <v/>
      </c>
      <c r="C97" s="18" t="str">
        <f t="array" ref="C97">IF(ROW()-8&gt;COUNTIFS(Catalog!$B$8:$B$101,"Potions",Catalog!$N$8:$N$101,1),"",INDEX(Catalog!$D$8:$D$101,MATCH("Potions"&amp;(ROW()-8),Catalog!$O$8:$O$101,0)))</f>
        <v/>
      </c>
      <c r="E97" s="18" t="str">
        <f t="array" ref="E97">IF(ROW()-8&gt;COUNTIFS(Catalog!$B$8:$B$101,"Elixirs",Catalog!$N$8:$N$101,1),"",INDEX(Catalog!$A$8:$A$101,MATCH("Elixirs"&amp;(ROW()-8),Catalog!$O$8:$O$101,0)))</f>
        <v/>
      </c>
      <c r="F97" s="18" t="str">
        <f t="array" ref="F97">IF(ROW()-8&gt;COUNTIFS(Catalog!$B$8:$B$101,"Elixirs",Catalog!$N$8:$N$101,1),"",INDEX(Catalog!$C$8:$C$101,MATCH("Elixirs"&amp;(ROW()-8),Catalog!$O$8:$O$101,0)))</f>
        <v/>
      </c>
      <c r="G97" s="18" t="str">
        <f t="array" ref="G97">IF(ROW()-8&gt;COUNTIFS(Catalog!$B$8:$B$101,"Elixirs",Catalog!$N$8:$N$101,1),"",INDEX(Catalog!$D$8:$D$101,MATCH("Elixirs"&amp;(ROW()-8),Catalog!$O$8:$O$101,0)))</f>
        <v/>
      </c>
      <c r="I97" s="18" t="str">
        <f t="array" ref="I97">IF(ROW()-8&gt;COUNTIFS(Catalog!$B$8:$B$101,"Food",Catalog!$N$8:$N$101,1),"",INDEX(Catalog!$A$8:$A$101,MATCH("Food"&amp;(ROW()-8),Catalog!$O$8:$O$101,0)))</f>
        <v/>
      </c>
      <c r="J97" s="18" t="str">
        <f t="array" ref="J97">IF(ROW()-8&gt;COUNTIFS(Catalog!$B$8:$B$101,"Food",Catalog!$N$8:$N$101,1),"",INDEX(Catalog!$C$8:$C$101,MATCH("Food"&amp;(ROW()-8),Catalog!$O$8:$O$101,0)))</f>
        <v/>
      </c>
      <c r="K97" s="18" t="str">
        <f t="array" ref="K97">IF(ROW()-8&gt;COUNTIFS(Catalog!$B$8:$B$101,"Food",Catalog!$N$8:$N$101,1),"",INDEX(Catalog!$D$8:$D$101,MATCH("Food"&amp;(ROW()-8),Catalog!$O$8:$O$101,0)))</f>
        <v/>
      </c>
    </row>
    <row r="98" ht="15.75" customHeight="1">
      <c r="A98" s="18" t="str">
        <f t="array" ref="A98">IF(ROW()-8&gt;COUNTIFS(Catalog!$B$8:$B$101,"Potions",Catalog!$N$8:$N$101,1),"",INDEX(Catalog!$A$8:$A$101,MATCH("Potions"&amp;(ROW()-8),Catalog!$O$8:$O$101,0)))</f>
        <v/>
      </c>
      <c r="B98" s="18" t="str">
        <f t="array" ref="B98">IF(ROW()-8&gt;COUNTIFS(Catalog!$B$8:$B$101,"Potions",Catalog!$N$8:$N$101,1),"",INDEX(Catalog!$C$8:$C$101,MATCH("Potions"&amp;(ROW()-8),Catalog!$O$8:$O$101,0)))</f>
        <v/>
      </c>
      <c r="C98" s="18" t="str">
        <f t="array" ref="C98">IF(ROW()-8&gt;COUNTIFS(Catalog!$B$8:$B$101,"Potions",Catalog!$N$8:$N$101,1),"",INDEX(Catalog!$D$8:$D$101,MATCH("Potions"&amp;(ROW()-8),Catalog!$O$8:$O$101,0)))</f>
        <v/>
      </c>
      <c r="E98" s="18" t="str">
        <f t="array" ref="E98">IF(ROW()-8&gt;COUNTIFS(Catalog!$B$8:$B$101,"Elixirs",Catalog!$N$8:$N$101,1),"",INDEX(Catalog!$A$8:$A$101,MATCH("Elixirs"&amp;(ROW()-8),Catalog!$O$8:$O$101,0)))</f>
        <v/>
      </c>
      <c r="F98" s="18" t="str">
        <f t="array" ref="F98">IF(ROW()-8&gt;COUNTIFS(Catalog!$B$8:$B$101,"Elixirs",Catalog!$N$8:$N$101,1),"",INDEX(Catalog!$C$8:$C$101,MATCH("Elixirs"&amp;(ROW()-8),Catalog!$O$8:$O$101,0)))</f>
        <v/>
      </c>
      <c r="G98" s="18" t="str">
        <f t="array" ref="G98">IF(ROW()-8&gt;COUNTIFS(Catalog!$B$8:$B$101,"Elixirs",Catalog!$N$8:$N$101,1),"",INDEX(Catalog!$D$8:$D$101,MATCH("Elixirs"&amp;(ROW()-8),Catalog!$O$8:$O$101,0)))</f>
        <v/>
      </c>
      <c r="I98" s="18" t="str">
        <f t="array" ref="I98">IF(ROW()-8&gt;COUNTIFS(Catalog!$B$8:$B$101,"Food",Catalog!$N$8:$N$101,1),"",INDEX(Catalog!$A$8:$A$101,MATCH("Food"&amp;(ROW()-8),Catalog!$O$8:$O$101,0)))</f>
        <v/>
      </c>
      <c r="J98" s="18" t="str">
        <f t="array" ref="J98">IF(ROW()-8&gt;COUNTIFS(Catalog!$B$8:$B$101,"Food",Catalog!$N$8:$N$101,1),"",INDEX(Catalog!$C$8:$C$101,MATCH("Food"&amp;(ROW()-8),Catalog!$O$8:$O$101,0)))</f>
        <v/>
      </c>
      <c r="K98" s="18" t="str">
        <f t="array" ref="K98">IF(ROW()-8&gt;COUNTIFS(Catalog!$B$8:$B$101,"Food",Catalog!$N$8:$N$101,1),"",INDEX(Catalog!$D$8:$D$101,MATCH("Food"&amp;(ROW()-8),Catalog!$O$8:$O$101,0)))</f>
        <v/>
      </c>
    </row>
    <row r="99" ht="15.75" customHeight="1">
      <c r="A99" s="18" t="str">
        <f t="array" ref="A99">IF(ROW()-8&gt;COUNTIFS(Catalog!$B$8:$B$101,"Potions",Catalog!$N$8:$N$101,1),"",INDEX(Catalog!$A$8:$A$101,MATCH("Potions"&amp;(ROW()-8),Catalog!$O$8:$O$101,0)))</f>
        <v/>
      </c>
      <c r="B99" s="18" t="str">
        <f t="array" ref="B99">IF(ROW()-8&gt;COUNTIFS(Catalog!$B$8:$B$101,"Potions",Catalog!$N$8:$N$101,1),"",INDEX(Catalog!$C$8:$C$101,MATCH("Potions"&amp;(ROW()-8),Catalog!$O$8:$O$101,0)))</f>
        <v/>
      </c>
      <c r="C99" s="18" t="str">
        <f t="array" ref="C99">IF(ROW()-8&gt;COUNTIFS(Catalog!$B$8:$B$101,"Potions",Catalog!$N$8:$N$101,1),"",INDEX(Catalog!$D$8:$D$101,MATCH("Potions"&amp;(ROW()-8),Catalog!$O$8:$O$101,0)))</f>
        <v/>
      </c>
      <c r="E99" s="18" t="str">
        <f t="array" ref="E99">IF(ROW()-8&gt;COUNTIFS(Catalog!$B$8:$B$101,"Elixirs",Catalog!$N$8:$N$101,1),"",INDEX(Catalog!$A$8:$A$101,MATCH("Elixirs"&amp;(ROW()-8),Catalog!$O$8:$O$101,0)))</f>
        <v/>
      </c>
      <c r="F99" s="18" t="str">
        <f t="array" ref="F99">IF(ROW()-8&gt;COUNTIFS(Catalog!$B$8:$B$101,"Elixirs",Catalog!$N$8:$N$101,1),"",INDEX(Catalog!$C$8:$C$101,MATCH("Elixirs"&amp;(ROW()-8),Catalog!$O$8:$O$101,0)))</f>
        <v/>
      </c>
      <c r="G99" s="18" t="str">
        <f t="array" ref="G99">IF(ROW()-8&gt;COUNTIFS(Catalog!$B$8:$B$101,"Elixirs",Catalog!$N$8:$N$101,1),"",INDEX(Catalog!$D$8:$D$101,MATCH("Elixirs"&amp;(ROW()-8),Catalog!$O$8:$O$101,0)))</f>
        <v/>
      </c>
      <c r="I99" s="18" t="str">
        <f t="array" ref="I99">IF(ROW()-8&gt;COUNTIFS(Catalog!$B$8:$B$101,"Food",Catalog!$N$8:$N$101,1),"",INDEX(Catalog!$A$8:$A$101,MATCH("Food"&amp;(ROW()-8),Catalog!$O$8:$O$101,0)))</f>
        <v/>
      </c>
      <c r="J99" s="18" t="str">
        <f t="array" ref="J99">IF(ROW()-8&gt;COUNTIFS(Catalog!$B$8:$B$101,"Food",Catalog!$N$8:$N$101,1),"",INDEX(Catalog!$C$8:$C$101,MATCH("Food"&amp;(ROW()-8),Catalog!$O$8:$O$101,0)))</f>
        <v/>
      </c>
      <c r="K99" s="18" t="str">
        <f t="array" ref="K99">IF(ROW()-8&gt;COUNTIFS(Catalog!$B$8:$B$101,"Food",Catalog!$N$8:$N$101,1),"",INDEX(Catalog!$D$8:$D$101,MATCH("Food"&amp;(ROW()-8),Catalog!$O$8:$O$101,0)))</f>
        <v/>
      </c>
    </row>
    <row r="100" ht="15.75" customHeight="1">
      <c r="A100" s="18" t="str">
        <f t="array" ref="A100">IF(ROW()-8&gt;COUNTIFS(Catalog!$B$8:$B$101,"Potions",Catalog!$N$8:$N$101,1),"",INDEX(Catalog!$A$8:$A$101,MATCH("Potions"&amp;(ROW()-8),Catalog!$O$8:$O$101,0)))</f>
        <v/>
      </c>
      <c r="B100" s="18" t="str">
        <f t="array" ref="B100">IF(ROW()-8&gt;COUNTIFS(Catalog!$B$8:$B$101,"Potions",Catalog!$N$8:$N$101,1),"",INDEX(Catalog!$C$8:$C$101,MATCH("Potions"&amp;(ROW()-8),Catalog!$O$8:$O$101,0)))</f>
        <v/>
      </c>
      <c r="C100" s="18" t="str">
        <f t="array" ref="C100">IF(ROW()-8&gt;COUNTIFS(Catalog!$B$8:$B$101,"Potions",Catalog!$N$8:$N$101,1),"",INDEX(Catalog!$D$8:$D$101,MATCH("Potions"&amp;(ROW()-8),Catalog!$O$8:$O$101,0)))</f>
        <v/>
      </c>
      <c r="E100" s="18" t="str">
        <f t="array" ref="E100">IF(ROW()-8&gt;COUNTIFS(Catalog!$B$8:$B$101,"Elixirs",Catalog!$N$8:$N$101,1),"",INDEX(Catalog!$A$8:$A$101,MATCH("Elixirs"&amp;(ROW()-8),Catalog!$O$8:$O$101,0)))</f>
        <v/>
      </c>
      <c r="F100" s="18" t="str">
        <f t="array" ref="F100">IF(ROW()-8&gt;COUNTIFS(Catalog!$B$8:$B$101,"Elixirs",Catalog!$N$8:$N$101,1),"",INDEX(Catalog!$C$8:$C$101,MATCH("Elixirs"&amp;(ROW()-8),Catalog!$O$8:$O$101,0)))</f>
        <v/>
      </c>
      <c r="G100" s="18" t="str">
        <f t="array" ref="G100">IF(ROW()-8&gt;COUNTIFS(Catalog!$B$8:$B$101,"Elixirs",Catalog!$N$8:$N$101,1),"",INDEX(Catalog!$D$8:$D$101,MATCH("Elixirs"&amp;(ROW()-8),Catalog!$O$8:$O$101,0)))</f>
        <v/>
      </c>
      <c r="I100" s="18" t="str">
        <f t="array" ref="I100">IF(ROW()-8&gt;COUNTIFS(Catalog!$B$8:$B$101,"Food",Catalog!$N$8:$N$101,1),"",INDEX(Catalog!$A$8:$A$101,MATCH("Food"&amp;(ROW()-8),Catalog!$O$8:$O$101,0)))</f>
        <v/>
      </c>
      <c r="J100" s="18" t="str">
        <f t="array" ref="J100">IF(ROW()-8&gt;COUNTIFS(Catalog!$B$8:$B$101,"Food",Catalog!$N$8:$N$101,1),"",INDEX(Catalog!$C$8:$C$101,MATCH("Food"&amp;(ROW()-8),Catalog!$O$8:$O$101,0)))</f>
        <v/>
      </c>
      <c r="K100" s="18" t="str">
        <f t="array" ref="K100">IF(ROW()-8&gt;COUNTIFS(Catalog!$B$8:$B$101,"Food",Catalog!$N$8:$N$101,1),"",INDEX(Catalog!$D$8:$D$101,MATCH("Food"&amp;(ROW()-8),Catalog!$O$8:$O$101,0)))</f>
        <v/>
      </c>
    </row>
    <row r="101" ht="15.75" customHeight="1">
      <c r="A101" s="18" t="str">
        <f t="array" ref="A101">IF(ROW()-8&gt;COUNTIFS(Catalog!$B$8:$B$101,"Potions",Catalog!$N$8:$N$101,1),"",INDEX(Catalog!$A$8:$A$101,MATCH("Potions"&amp;(ROW()-8),Catalog!$O$8:$O$101,0)))</f>
        <v/>
      </c>
      <c r="B101" s="18" t="str">
        <f t="array" ref="B101">IF(ROW()-8&gt;COUNTIFS(Catalog!$B$8:$B$101,"Potions",Catalog!$N$8:$N$101,1),"",INDEX(Catalog!$C$8:$C$101,MATCH("Potions"&amp;(ROW()-8),Catalog!$O$8:$O$101,0)))</f>
        <v/>
      </c>
      <c r="C101" s="18" t="str">
        <f t="array" ref="C101">IF(ROW()-8&gt;COUNTIFS(Catalog!$B$8:$B$101,"Potions",Catalog!$N$8:$N$101,1),"",INDEX(Catalog!$D$8:$D$101,MATCH("Potions"&amp;(ROW()-8),Catalog!$O$8:$O$101,0)))</f>
        <v/>
      </c>
      <c r="E101" s="18" t="str">
        <f t="array" ref="E101">IF(ROW()-8&gt;COUNTIFS(Catalog!$B$8:$B$101,"Elixirs",Catalog!$N$8:$N$101,1),"",INDEX(Catalog!$A$8:$A$101,MATCH("Elixirs"&amp;(ROW()-8),Catalog!$O$8:$O$101,0)))</f>
        <v/>
      </c>
      <c r="F101" s="18" t="str">
        <f t="array" ref="F101">IF(ROW()-8&gt;COUNTIFS(Catalog!$B$8:$B$101,"Elixirs",Catalog!$N$8:$N$101,1),"",INDEX(Catalog!$C$8:$C$101,MATCH("Elixirs"&amp;(ROW()-8),Catalog!$O$8:$O$101,0)))</f>
        <v/>
      </c>
      <c r="G101" s="18" t="str">
        <f t="array" ref="G101">IF(ROW()-8&gt;COUNTIFS(Catalog!$B$8:$B$101,"Elixirs",Catalog!$N$8:$N$101,1),"",INDEX(Catalog!$D$8:$D$101,MATCH("Elixirs"&amp;(ROW()-8),Catalog!$O$8:$O$101,0)))</f>
        <v/>
      </c>
      <c r="I101" s="18" t="str">
        <f t="array" ref="I101">IF(ROW()-8&gt;COUNTIFS(Catalog!$B$8:$B$101,"Food",Catalog!$N$8:$N$101,1),"",INDEX(Catalog!$A$8:$A$101,MATCH("Food"&amp;(ROW()-8),Catalog!$O$8:$O$101,0)))</f>
        <v/>
      </c>
      <c r="J101" s="18" t="str">
        <f t="array" ref="J101">IF(ROW()-8&gt;COUNTIFS(Catalog!$B$8:$B$101,"Food",Catalog!$N$8:$N$101,1),"",INDEX(Catalog!$C$8:$C$101,MATCH("Food"&amp;(ROW()-8),Catalog!$O$8:$O$101,0)))</f>
        <v/>
      </c>
      <c r="K101" s="18" t="str">
        <f t="array" ref="K101">IF(ROW()-8&gt;COUNTIFS(Catalog!$B$8:$B$101,"Food",Catalog!$N$8:$N$101,1),"",INDEX(Catalog!$D$8:$D$101,MATCH("Food"&amp;(ROW()-8),Catalog!$O$8:$O$101,0)))</f>
        <v/>
      </c>
    </row>
    <row r="102" ht="15.75" customHeight="1">
      <c r="A102" s="18" t="str">
        <f t="array" ref="A102">IF(ROW()-8&gt;COUNTIFS(Catalog!$B$8:$B$101,"Potions",Catalog!$N$8:$N$101,1),"",INDEX(Catalog!$A$8:$A$101,MATCH("Potions"&amp;(ROW()-8),Catalog!$O$8:$O$101,0)))</f>
        <v/>
      </c>
      <c r="B102" s="18" t="str">
        <f t="array" ref="B102">IF(ROW()-8&gt;COUNTIFS(Catalog!$B$8:$B$101,"Potions",Catalog!$N$8:$N$101,1),"",INDEX(Catalog!$C$8:$C$101,MATCH("Potions"&amp;(ROW()-8),Catalog!$O$8:$O$101,0)))</f>
        <v/>
      </c>
      <c r="C102" s="18" t="str">
        <f t="array" ref="C102">IF(ROW()-8&gt;COUNTIFS(Catalog!$B$8:$B$101,"Potions",Catalog!$N$8:$N$101,1),"",INDEX(Catalog!$D$8:$D$101,MATCH("Potions"&amp;(ROW()-8),Catalog!$O$8:$O$101,0)))</f>
        <v/>
      </c>
      <c r="E102" s="18" t="str">
        <f t="array" ref="E102">IF(ROW()-8&gt;COUNTIFS(Catalog!$B$8:$B$101,"Elixirs",Catalog!$N$8:$N$101,1),"",INDEX(Catalog!$A$8:$A$101,MATCH("Elixirs"&amp;(ROW()-8),Catalog!$O$8:$O$101,0)))</f>
        <v/>
      </c>
      <c r="F102" s="18" t="str">
        <f t="array" ref="F102">IF(ROW()-8&gt;COUNTIFS(Catalog!$B$8:$B$101,"Elixirs",Catalog!$N$8:$N$101,1),"",INDEX(Catalog!$C$8:$C$101,MATCH("Elixirs"&amp;(ROW()-8),Catalog!$O$8:$O$101,0)))</f>
        <v/>
      </c>
      <c r="G102" s="18" t="str">
        <f t="array" ref="G102">IF(ROW()-8&gt;COUNTIFS(Catalog!$B$8:$B$101,"Elixirs",Catalog!$N$8:$N$101,1),"",INDEX(Catalog!$D$8:$D$101,MATCH("Elixirs"&amp;(ROW()-8),Catalog!$O$8:$O$101,0)))</f>
        <v/>
      </c>
      <c r="I102" s="18" t="str">
        <f t="array" ref="I102">IF(ROW()-8&gt;COUNTIFS(Catalog!$B$8:$B$101,"Food",Catalog!$N$8:$N$101,1),"",INDEX(Catalog!$A$8:$A$101,MATCH("Food"&amp;(ROW()-8),Catalog!$O$8:$O$101,0)))</f>
        <v/>
      </c>
      <c r="J102" s="18" t="str">
        <f t="array" ref="J102">IF(ROW()-8&gt;COUNTIFS(Catalog!$B$8:$B$101,"Food",Catalog!$N$8:$N$101,1),"",INDEX(Catalog!$C$8:$C$101,MATCH("Food"&amp;(ROW()-8),Catalog!$O$8:$O$101,0)))</f>
        <v/>
      </c>
      <c r="K102" s="18" t="str">
        <f t="array" ref="K102">IF(ROW()-8&gt;COUNTIFS(Catalog!$B$8:$B$101,"Food",Catalog!$N$8:$N$101,1),"",INDEX(Catalog!$D$8:$D$101,MATCH("Food"&amp;(ROW()-8),Catalog!$O$8:$O$101,0)))</f>
        <v/>
      </c>
    </row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6:C6"/>
    <mergeCell ref="E6:G6"/>
    <mergeCell ref="I6:K6"/>
    <mergeCell ref="A7:C7"/>
    <mergeCell ref="E7:G7"/>
    <mergeCell ref="I7:K7"/>
  </mergeCells>
  <conditionalFormatting sqref="A9:C55">
    <cfRule type="expression" dxfId="5" priority="1">
      <formula>AND($A9&lt;&gt;"",MOD(ROW(),2)=1)</formula>
    </cfRule>
  </conditionalFormatting>
  <conditionalFormatting sqref="E9:G55">
    <cfRule type="expression" dxfId="5" priority="2">
      <formula>AND($E9&lt;&gt;"",MOD(ROW(),2)=1)</formula>
    </cfRule>
  </conditionalFormatting>
  <conditionalFormatting sqref="I9:K55">
    <cfRule type="expression" dxfId="5" priority="3">
      <formula>AND($I9&lt;&gt;"",MOD(ROW(),2)=1)</formula>
    </cfRule>
  </conditionalFormatting>
  <dataValidations>
    <dataValidation type="list" allowBlank="1" sqref="B4">
      <formula1>"Druid,Hunter,Mage,Paladin,Priest,Rogue,Shaman,Warlock,Warrior"</formula1>
    </dataValidation>
    <dataValidation type="decimal" allowBlank="1" sqref="F4">
      <formula1>1.0</formula1>
      <formula2>60.0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FB69C"/>
    <pageSetUpPr/>
  </sheetPr>
  <sheetViews>
    <sheetView showGridLines="0" workbookViewId="0">
      <pane ySplit="7.0" topLeftCell="A8" activePane="bottomLeft" state="frozen"/>
      <selection activeCell="B9" sqref="B9" pane="bottomLeft"/>
    </sheetView>
  </sheetViews>
  <sheetFormatPr customHeight="1" defaultColWidth="12.63" defaultRowHeight="15.0"/>
  <cols>
    <col customWidth="1" min="1" max="1" width="35.0"/>
    <col customWidth="1" min="2" max="2" width="12.0"/>
    <col customWidth="1" min="3" max="3" width="30.0"/>
    <col customWidth="1" min="4" max="4" width="10.0"/>
    <col customWidth="1" min="5" max="5" width="35.0"/>
    <col customWidth="1" min="6" max="6" width="17.0"/>
    <col customWidth="1" min="7" max="7" width="32.0"/>
    <col customWidth="1" min="8" max="8" width="8.0"/>
    <col customWidth="1" min="9" max="9" width="10.0"/>
    <col customWidth="1" min="10" max="10" width="62.0"/>
    <col customWidth="1" min="11" max="11" width="65.0"/>
    <col customWidth="1" min="12" max="12" width="10.0"/>
    <col customWidth="1" min="13" max="13" width="12.0"/>
    <col customWidth="1" min="14" max="14" width="8.0"/>
    <col customWidth="1" min="15" max="15" width="12.0"/>
    <col customWidth="1" min="16" max="16" width="28.0"/>
    <col customWidth="1" min="17" max="17" width="13.0"/>
    <col customWidth="1" min="18" max="18" width="38.0"/>
    <col customWidth="1" min="19" max="19" width="22.0"/>
    <col customWidth="1" min="20" max="20" width="14.0"/>
    <col customWidth="1" min="21" max="26" width="8.63"/>
  </cols>
  <sheetData>
    <row r="1" ht="24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ht="24.0" customHeight="1">
      <c r="A2" s="2" t="s">
        <v>14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ht="24.0" customHeight="1">
      <c r="A3" s="1" t="s">
        <v>15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ht="24.0" customHeight="1">
      <c r="A4" s="1" t="s">
        <v>16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ht="24.0" customHeight="1">
      <c r="A5" s="1" t="s">
        <v>17</v>
      </c>
      <c r="B5" s="1"/>
      <c r="C5" s="1" t="s">
        <v>18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ht="24.0" customHeight="1">
      <c r="A6" s="1" t="s">
        <v>19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ht="25.5" customHeight="1">
      <c r="A7" s="11" t="s">
        <v>11</v>
      </c>
      <c r="B7" s="11" t="s">
        <v>20</v>
      </c>
      <c r="C7" s="11" t="s">
        <v>21</v>
      </c>
      <c r="D7" s="11" t="s">
        <v>22</v>
      </c>
      <c r="E7" s="11" t="s">
        <v>23</v>
      </c>
      <c r="F7" s="11" t="s">
        <v>24</v>
      </c>
      <c r="G7" s="11" t="s">
        <v>25</v>
      </c>
      <c r="H7" s="11" t="s">
        <v>26</v>
      </c>
      <c r="I7" s="11" t="s">
        <v>27</v>
      </c>
      <c r="J7" s="11" t="s">
        <v>28</v>
      </c>
      <c r="K7" s="11" t="s">
        <v>29</v>
      </c>
      <c r="L7" s="11" t="s">
        <v>30</v>
      </c>
      <c r="M7" s="11" t="s">
        <v>31</v>
      </c>
      <c r="N7" s="11" t="s">
        <v>32</v>
      </c>
      <c r="O7" s="11" t="s">
        <v>33</v>
      </c>
      <c r="P7" s="11" t="s">
        <v>34</v>
      </c>
      <c r="Q7" s="11" t="s">
        <v>35</v>
      </c>
      <c r="R7" s="11" t="s">
        <v>36</v>
      </c>
      <c r="S7" s="11" t="s">
        <v>37</v>
      </c>
      <c r="T7" s="11" t="s">
        <v>38</v>
      </c>
    </row>
    <row r="8" ht="30.75" customHeight="1">
      <c r="A8" s="13" t="s">
        <v>39</v>
      </c>
      <c r="B8" s="13" t="s">
        <v>8</v>
      </c>
      <c r="C8" s="13" t="s">
        <v>40</v>
      </c>
      <c r="D8" s="13">
        <v>0.0</v>
      </c>
      <c r="E8" s="13" t="s">
        <v>41</v>
      </c>
      <c r="F8" s="13" t="s">
        <v>42</v>
      </c>
      <c r="G8" s="13" t="s">
        <v>43</v>
      </c>
      <c r="H8" s="13">
        <v>0.0</v>
      </c>
      <c r="I8" s="14" t="s">
        <v>44</v>
      </c>
      <c r="J8" s="13" t="s">
        <v>45</v>
      </c>
      <c r="K8" s="15" t="s">
        <v>46</v>
      </c>
      <c r="L8" s="15">
        <f>IF(AND(I8="Yes",'Carry list'!$B$4&lt;&gt;"",ISNUMBER('Carry list'!$F$4),'Carry list'!$F$4&gt;=1,'Carry list'!$F$4&lt;=60,'Carry list'!$F$4=INT('Carry list'!$F$4),'Carry list'!$F$4&gt;=D8,OR(E8="All",ISNUMBER(SEARCH('Carry list'!$B$4,E8)))),1,0)</f>
        <v>1</v>
      </c>
      <c r="M8" s="15">
        <f t="shared" ref="M8:M101" si="1">COUNTIFS($G$8:$G$101,G8,$L$8:$L$101,1,$H$8:$H$101,"&gt;"&amp;H8)</f>
        <v>3</v>
      </c>
      <c r="N8" s="15">
        <f t="shared" ref="N8:N101" si="2">IF(AND(L8=1,M8=0),1,0)</f>
        <v>0</v>
      </c>
      <c r="O8" s="15" t="str">
        <f t="shared" ref="O8:O101" si="3">IF(N8=1,B8&amp;COUNTIFS($B$8:B8,B8,$N$8:N8,1),"")</f>
        <v/>
      </c>
      <c r="P8" s="15" t="s">
        <v>40</v>
      </c>
      <c r="Q8" s="15">
        <v>0.0</v>
      </c>
      <c r="R8" s="15" t="s">
        <v>41</v>
      </c>
      <c r="S8" s="15" t="s">
        <v>47</v>
      </c>
      <c r="T8" s="15" t="s">
        <v>48</v>
      </c>
    </row>
    <row r="9" ht="30.75" customHeight="1">
      <c r="A9" s="16" t="s">
        <v>49</v>
      </c>
      <c r="B9" s="16" t="s">
        <v>8</v>
      </c>
      <c r="C9" s="16" t="s">
        <v>40</v>
      </c>
      <c r="D9" s="16">
        <v>3.0</v>
      </c>
      <c r="E9" s="16" t="s">
        <v>41</v>
      </c>
      <c r="F9" s="16" t="s">
        <v>42</v>
      </c>
      <c r="G9" s="16" t="s">
        <v>43</v>
      </c>
      <c r="H9" s="16">
        <v>3.0</v>
      </c>
      <c r="I9" s="14" t="s">
        <v>44</v>
      </c>
      <c r="J9" s="16" t="s">
        <v>45</v>
      </c>
      <c r="K9" s="17" t="s">
        <v>46</v>
      </c>
      <c r="L9" s="17">
        <f>IF(AND(I9="Yes",'Carry list'!$B$4&lt;&gt;"",ISNUMBER('Carry list'!$F$4),'Carry list'!$F$4&gt;=1,'Carry list'!$F$4&lt;=60,'Carry list'!$F$4=INT('Carry list'!$F$4),'Carry list'!$F$4&gt;=D9,OR(E9="All",ISNUMBER(SEARCH('Carry list'!$B$4,E9)))),1,0)</f>
        <v>1</v>
      </c>
      <c r="M9" s="17">
        <f t="shared" si="1"/>
        <v>2</v>
      </c>
      <c r="N9" s="17">
        <f t="shared" si="2"/>
        <v>0</v>
      </c>
      <c r="O9" s="17" t="str">
        <f t="shared" si="3"/>
        <v/>
      </c>
      <c r="P9" s="17" t="s">
        <v>40</v>
      </c>
      <c r="Q9" s="17">
        <v>3.0</v>
      </c>
      <c r="R9" s="17" t="s">
        <v>41</v>
      </c>
      <c r="S9" s="17" t="s">
        <v>47</v>
      </c>
      <c r="T9" s="17" t="s">
        <v>48</v>
      </c>
    </row>
    <row r="10" ht="30.75" customHeight="1">
      <c r="A10" s="13" t="s">
        <v>50</v>
      </c>
      <c r="B10" s="13" t="s">
        <v>8</v>
      </c>
      <c r="C10" s="13" t="s">
        <v>40</v>
      </c>
      <c r="D10" s="13">
        <v>12.0</v>
      </c>
      <c r="E10" s="13" t="s">
        <v>41</v>
      </c>
      <c r="F10" s="13" t="s">
        <v>42</v>
      </c>
      <c r="G10" s="13" t="s">
        <v>43</v>
      </c>
      <c r="H10" s="13">
        <v>12.0</v>
      </c>
      <c r="I10" s="14" t="s">
        <v>44</v>
      </c>
      <c r="J10" s="13" t="s">
        <v>45</v>
      </c>
      <c r="K10" s="15" t="s">
        <v>46</v>
      </c>
      <c r="L10" s="15">
        <f>IF(AND(I10="Yes",'Carry list'!$B$4&lt;&gt;"",ISNUMBER('Carry list'!$F$4),'Carry list'!$F$4&gt;=1,'Carry list'!$F$4&lt;=60,'Carry list'!$F$4=INT('Carry list'!$F$4),'Carry list'!$F$4&gt;=D10,OR(E10="All",ISNUMBER(SEARCH('Carry list'!$B$4,E10)))),1,0)</f>
        <v>1</v>
      </c>
      <c r="M10" s="15">
        <f t="shared" si="1"/>
        <v>1</v>
      </c>
      <c r="N10" s="15">
        <f t="shared" si="2"/>
        <v>0</v>
      </c>
      <c r="O10" s="15" t="str">
        <f t="shared" si="3"/>
        <v/>
      </c>
      <c r="P10" s="15" t="s">
        <v>40</v>
      </c>
      <c r="Q10" s="15">
        <v>12.0</v>
      </c>
      <c r="R10" s="15" t="s">
        <v>41</v>
      </c>
      <c r="S10" s="15" t="s">
        <v>47</v>
      </c>
      <c r="T10" s="15" t="s">
        <v>48</v>
      </c>
    </row>
    <row r="11" ht="30.75" customHeight="1">
      <c r="A11" s="16" t="s">
        <v>51</v>
      </c>
      <c r="B11" s="16" t="s">
        <v>8</v>
      </c>
      <c r="C11" s="16" t="s">
        <v>40</v>
      </c>
      <c r="D11" s="16">
        <v>21.0</v>
      </c>
      <c r="E11" s="16" t="s">
        <v>41</v>
      </c>
      <c r="F11" s="16" t="s">
        <v>42</v>
      </c>
      <c r="G11" s="16" t="s">
        <v>43</v>
      </c>
      <c r="H11" s="16">
        <v>21.0</v>
      </c>
      <c r="I11" s="14" t="s">
        <v>44</v>
      </c>
      <c r="J11" s="16" t="s">
        <v>45</v>
      </c>
      <c r="K11" s="17" t="s">
        <v>46</v>
      </c>
      <c r="L11" s="17">
        <f>IF(AND(I11="Yes",'Carry list'!$B$4&lt;&gt;"",ISNUMBER('Carry list'!$F$4),'Carry list'!$F$4&gt;=1,'Carry list'!$F$4&lt;=60,'Carry list'!$F$4=INT('Carry list'!$F$4),'Carry list'!$F$4&gt;=D11,OR(E11="All",ISNUMBER(SEARCH('Carry list'!$B$4,E11)))),1,0)</f>
        <v>1</v>
      </c>
      <c r="M11" s="17">
        <f t="shared" si="1"/>
        <v>0</v>
      </c>
      <c r="N11" s="17">
        <f t="shared" si="2"/>
        <v>1</v>
      </c>
      <c r="O11" s="17" t="str">
        <f t="shared" si="3"/>
        <v>Potions1</v>
      </c>
      <c r="P11" s="17" t="s">
        <v>40</v>
      </c>
      <c r="Q11" s="17">
        <v>21.0</v>
      </c>
      <c r="R11" s="17" t="s">
        <v>41</v>
      </c>
      <c r="S11" s="17" t="s">
        <v>47</v>
      </c>
      <c r="T11" s="17" t="s">
        <v>48</v>
      </c>
    </row>
    <row r="12" ht="30.75" customHeight="1">
      <c r="A12" s="13" t="s">
        <v>52</v>
      </c>
      <c r="B12" s="13" t="s">
        <v>8</v>
      </c>
      <c r="C12" s="13" t="s">
        <v>40</v>
      </c>
      <c r="D12" s="13">
        <v>35.0</v>
      </c>
      <c r="E12" s="13" t="s">
        <v>41</v>
      </c>
      <c r="F12" s="13" t="s">
        <v>42</v>
      </c>
      <c r="G12" s="13" t="s">
        <v>43</v>
      </c>
      <c r="H12" s="13">
        <v>35.0</v>
      </c>
      <c r="I12" s="14" t="s">
        <v>44</v>
      </c>
      <c r="J12" s="13" t="s">
        <v>45</v>
      </c>
      <c r="K12" s="15" t="s">
        <v>46</v>
      </c>
      <c r="L12" s="15">
        <f>IF(AND(I12="Yes",'Carry list'!$B$4&lt;&gt;"",ISNUMBER('Carry list'!$F$4),'Carry list'!$F$4&gt;=1,'Carry list'!$F$4&lt;=60,'Carry list'!$F$4=INT('Carry list'!$F$4),'Carry list'!$F$4&gt;=D12,OR(E12="All",ISNUMBER(SEARCH('Carry list'!$B$4,E12)))),1,0)</f>
        <v>0</v>
      </c>
      <c r="M12" s="15">
        <f t="shared" si="1"/>
        <v>0</v>
      </c>
      <c r="N12" s="15">
        <f t="shared" si="2"/>
        <v>0</v>
      </c>
      <c r="O12" s="15" t="str">
        <f t="shared" si="3"/>
        <v/>
      </c>
      <c r="P12" s="15" t="s">
        <v>40</v>
      </c>
      <c r="Q12" s="15">
        <v>35.0</v>
      </c>
      <c r="R12" s="15" t="s">
        <v>41</v>
      </c>
      <c r="S12" s="15" t="s">
        <v>47</v>
      </c>
      <c r="T12" s="15" t="s">
        <v>48</v>
      </c>
    </row>
    <row r="13" ht="30.75" customHeight="1">
      <c r="A13" s="16" t="s">
        <v>53</v>
      </c>
      <c r="B13" s="16" t="s">
        <v>8</v>
      </c>
      <c r="C13" s="16" t="s">
        <v>40</v>
      </c>
      <c r="D13" s="16">
        <v>45.0</v>
      </c>
      <c r="E13" s="16" t="s">
        <v>41</v>
      </c>
      <c r="F13" s="16" t="s">
        <v>42</v>
      </c>
      <c r="G13" s="16" t="s">
        <v>43</v>
      </c>
      <c r="H13" s="16">
        <v>45.0</v>
      </c>
      <c r="I13" s="14" t="s">
        <v>44</v>
      </c>
      <c r="J13" s="16" t="s">
        <v>45</v>
      </c>
      <c r="K13" s="17" t="s">
        <v>46</v>
      </c>
      <c r="L13" s="17">
        <f>IF(AND(I13="Yes",'Carry list'!$B$4&lt;&gt;"",ISNUMBER('Carry list'!$F$4),'Carry list'!$F$4&gt;=1,'Carry list'!$F$4&lt;=60,'Carry list'!$F$4=INT('Carry list'!$F$4),'Carry list'!$F$4&gt;=D13,OR(E13="All",ISNUMBER(SEARCH('Carry list'!$B$4,E13)))),1,0)</f>
        <v>0</v>
      </c>
      <c r="M13" s="17">
        <f t="shared" si="1"/>
        <v>0</v>
      </c>
      <c r="N13" s="17">
        <f t="shared" si="2"/>
        <v>0</v>
      </c>
      <c r="O13" s="17" t="str">
        <f t="shared" si="3"/>
        <v/>
      </c>
      <c r="P13" s="17" t="s">
        <v>40</v>
      </c>
      <c r="Q13" s="17">
        <v>45.0</v>
      </c>
      <c r="R13" s="17" t="s">
        <v>41</v>
      </c>
      <c r="S13" s="17" t="s">
        <v>47</v>
      </c>
      <c r="T13" s="17" t="s">
        <v>48</v>
      </c>
    </row>
    <row r="14" ht="30.75" customHeight="1">
      <c r="A14" s="13" t="s">
        <v>54</v>
      </c>
      <c r="B14" s="13" t="s">
        <v>8</v>
      </c>
      <c r="C14" s="13" t="s">
        <v>55</v>
      </c>
      <c r="D14" s="13">
        <v>5.0</v>
      </c>
      <c r="E14" s="13" t="s">
        <v>56</v>
      </c>
      <c r="F14" s="13" t="s">
        <v>42</v>
      </c>
      <c r="G14" s="13" t="s">
        <v>57</v>
      </c>
      <c r="H14" s="13">
        <v>5.0</v>
      </c>
      <c r="I14" s="14" t="s">
        <v>44</v>
      </c>
      <c r="J14" s="13" t="s">
        <v>58</v>
      </c>
      <c r="K14" s="15" t="s">
        <v>46</v>
      </c>
      <c r="L14" s="15">
        <f>IF(AND(I14="Yes",'Carry list'!$B$4&lt;&gt;"",ISNUMBER('Carry list'!$F$4),'Carry list'!$F$4&gt;=1,'Carry list'!$F$4&lt;=60,'Carry list'!$F$4=INT('Carry list'!$F$4),'Carry list'!$F$4&gt;=D14,OR(E14="All",ISNUMBER(SEARCH('Carry list'!$B$4,E14)))),1,0)</f>
        <v>1</v>
      </c>
      <c r="M14" s="15">
        <f t="shared" si="1"/>
        <v>2</v>
      </c>
      <c r="N14" s="15">
        <f t="shared" si="2"/>
        <v>0</v>
      </c>
      <c r="O14" s="15" t="str">
        <f t="shared" si="3"/>
        <v/>
      </c>
      <c r="P14" s="15" t="s">
        <v>55</v>
      </c>
      <c r="Q14" s="15">
        <v>5.0</v>
      </c>
      <c r="R14" s="15" t="s">
        <v>56</v>
      </c>
      <c r="S14" s="15" t="s">
        <v>59</v>
      </c>
      <c r="T14" s="15" t="s">
        <v>48</v>
      </c>
    </row>
    <row r="15" ht="30.75" customHeight="1">
      <c r="A15" s="16" t="s">
        <v>60</v>
      </c>
      <c r="B15" s="16" t="s">
        <v>8</v>
      </c>
      <c r="C15" s="16" t="s">
        <v>55</v>
      </c>
      <c r="D15" s="16">
        <v>14.0</v>
      </c>
      <c r="E15" s="16" t="s">
        <v>56</v>
      </c>
      <c r="F15" s="16" t="s">
        <v>42</v>
      </c>
      <c r="G15" s="16" t="s">
        <v>57</v>
      </c>
      <c r="H15" s="16">
        <v>14.0</v>
      </c>
      <c r="I15" s="14" t="s">
        <v>44</v>
      </c>
      <c r="J15" s="16" t="s">
        <v>58</v>
      </c>
      <c r="K15" s="17" t="s">
        <v>46</v>
      </c>
      <c r="L15" s="17">
        <f>IF(AND(I15="Yes",'Carry list'!$B$4&lt;&gt;"",ISNUMBER('Carry list'!$F$4),'Carry list'!$F$4&gt;=1,'Carry list'!$F$4&lt;=60,'Carry list'!$F$4=INT('Carry list'!$F$4),'Carry list'!$F$4&gt;=D15,OR(E15="All",ISNUMBER(SEARCH('Carry list'!$B$4,E15)))),1,0)</f>
        <v>1</v>
      </c>
      <c r="M15" s="17">
        <f t="shared" si="1"/>
        <v>1</v>
      </c>
      <c r="N15" s="17">
        <f t="shared" si="2"/>
        <v>0</v>
      </c>
      <c r="O15" s="17" t="str">
        <f t="shared" si="3"/>
        <v/>
      </c>
      <c r="P15" s="17" t="s">
        <v>55</v>
      </c>
      <c r="Q15" s="17">
        <v>14.0</v>
      </c>
      <c r="R15" s="17" t="s">
        <v>56</v>
      </c>
      <c r="S15" s="17" t="s">
        <v>59</v>
      </c>
      <c r="T15" s="17" t="s">
        <v>48</v>
      </c>
    </row>
    <row r="16" ht="30.75" customHeight="1">
      <c r="A16" s="13" t="s">
        <v>61</v>
      </c>
      <c r="B16" s="13" t="s">
        <v>8</v>
      </c>
      <c r="C16" s="13" t="s">
        <v>55</v>
      </c>
      <c r="D16" s="13">
        <v>22.0</v>
      </c>
      <c r="E16" s="13" t="s">
        <v>56</v>
      </c>
      <c r="F16" s="13" t="s">
        <v>42</v>
      </c>
      <c r="G16" s="13" t="s">
        <v>57</v>
      </c>
      <c r="H16" s="13">
        <v>22.0</v>
      </c>
      <c r="I16" s="14" t="s">
        <v>44</v>
      </c>
      <c r="J16" s="13" t="s">
        <v>58</v>
      </c>
      <c r="K16" s="15" t="s">
        <v>46</v>
      </c>
      <c r="L16" s="15">
        <f>IF(AND(I16="Yes",'Carry list'!$B$4&lt;&gt;"",ISNUMBER('Carry list'!$F$4),'Carry list'!$F$4&gt;=1,'Carry list'!$F$4&lt;=60,'Carry list'!$F$4=INT('Carry list'!$F$4),'Carry list'!$F$4&gt;=D16,OR(E16="All",ISNUMBER(SEARCH('Carry list'!$B$4,E16)))),1,0)</f>
        <v>1</v>
      </c>
      <c r="M16" s="15">
        <f t="shared" si="1"/>
        <v>0</v>
      </c>
      <c r="N16" s="15">
        <f t="shared" si="2"/>
        <v>1</v>
      </c>
      <c r="O16" s="15" t="str">
        <f t="shared" si="3"/>
        <v>Potions2</v>
      </c>
      <c r="P16" s="15" t="s">
        <v>55</v>
      </c>
      <c r="Q16" s="15">
        <v>22.0</v>
      </c>
      <c r="R16" s="15" t="s">
        <v>56</v>
      </c>
      <c r="S16" s="15" t="s">
        <v>59</v>
      </c>
      <c r="T16" s="15" t="s">
        <v>48</v>
      </c>
    </row>
    <row r="17" ht="30.75" customHeight="1">
      <c r="A17" s="16" t="s">
        <v>62</v>
      </c>
      <c r="B17" s="16" t="s">
        <v>8</v>
      </c>
      <c r="C17" s="16" t="s">
        <v>55</v>
      </c>
      <c r="D17" s="16">
        <v>31.0</v>
      </c>
      <c r="E17" s="16" t="s">
        <v>56</v>
      </c>
      <c r="F17" s="16" t="s">
        <v>42</v>
      </c>
      <c r="G17" s="16" t="s">
        <v>57</v>
      </c>
      <c r="H17" s="16">
        <v>31.0</v>
      </c>
      <c r="I17" s="14" t="s">
        <v>44</v>
      </c>
      <c r="J17" s="16" t="s">
        <v>58</v>
      </c>
      <c r="K17" s="17" t="s">
        <v>46</v>
      </c>
      <c r="L17" s="17">
        <f>IF(AND(I17="Yes",'Carry list'!$B$4&lt;&gt;"",ISNUMBER('Carry list'!$F$4),'Carry list'!$F$4&gt;=1,'Carry list'!$F$4&lt;=60,'Carry list'!$F$4=INT('Carry list'!$F$4),'Carry list'!$F$4&gt;=D17,OR(E17="All",ISNUMBER(SEARCH('Carry list'!$B$4,E17)))),1,0)</f>
        <v>0</v>
      </c>
      <c r="M17" s="17">
        <f t="shared" si="1"/>
        <v>0</v>
      </c>
      <c r="N17" s="17">
        <f t="shared" si="2"/>
        <v>0</v>
      </c>
      <c r="O17" s="17" t="str">
        <f t="shared" si="3"/>
        <v/>
      </c>
      <c r="P17" s="17" t="s">
        <v>55</v>
      </c>
      <c r="Q17" s="17">
        <v>31.0</v>
      </c>
      <c r="R17" s="17" t="s">
        <v>56</v>
      </c>
      <c r="S17" s="17" t="s">
        <v>59</v>
      </c>
      <c r="T17" s="17" t="s">
        <v>48</v>
      </c>
    </row>
    <row r="18" ht="30.75" customHeight="1">
      <c r="A18" s="13" t="s">
        <v>63</v>
      </c>
      <c r="B18" s="13" t="s">
        <v>8</v>
      </c>
      <c r="C18" s="13" t="s">
        <v>55</v>
      </c>
      <c r="D18" s="13">
        <v>41.0</v>
      </c>
      <c r="E18" s="13" t="s">
        <v>56</v>
      </c>
      <c r="F18" s="13" t="s">
        <v>42</v>
      </c>
      <c r="G18" s="13" t="s">
        <v>57</v>
      </c>
      <c r="H18" s="13">
        <v>41.0</v>
      </c>
      <c r="I18" s="14" t="s">
        <v>44</v>
      </c>
      <c r="J18" s="13" t="s">
        <v>58</v>
      </c>
      <c r="K18" s="15" t="s">
        <v>46</v>
      </c>
      <c r="L18" s="15">
        <f>IF(AND(I18="Yes",'Carry list'!$B$4&lt;&gt;"",ISNUMBER('Carry list'!$F$4),'Carry list'!$F$4&gt;=1,'Carry list'!$F$4&lt;=60,'Carry list'!$F$4=INT('Carry list'!$F$4),'Carry list'!$F$4&gt;=D18,OR(E18="All",ISNUMBER(SEARCH('Carry list'!$B$4,E18)))),1,0)</f>
        <v>0</v>
      </c>
      <c r="M18" s="15">
        <f t="shared" si="1"/>
        <v>0</v>
      </c>
      <c r="N18" s="15">
        <f t="shared" si="2"/>
        <v>0</v>
      </c>
      <c r="O18" s="15" t="str">
        <f t="shared" si="3"/>
        <v/>
      </c>
      <c r="P18" s="15" t="s">
        <v>55</v>
      </c>
      <c r="Q18" s="15">
        <v>41.0</v>
      </c>
      <c r="R18" s="15" t="s">
        <v>56</v>
      </c>
      <c r="S18" s="15" t="s">
        <v>59</v>
      </c>
      <c r="T18" s="15" t="s">
        <v>48</v>
      </c>
    </row>
    <row r="19" ht="30.75" customHeight="1">
      <c r="A19" s="16" t="s">
        <v>64</v>
      </c>
      <c r="B19" s="16" t="s">
        <v>8</v>
      </c>
      <c r="C19" s="16" t="s">
        <v>55</v>
      </c>
      <c r="D19" s="16">
        <v>49.0</v>
      </c>
      <c r="E19" s="16" t="s">
        <v>56</v>
      </c>
      <c r="F19" s="16" t="s">
        <v>42</v>
      </c>
      <c r="G19" s="16" t="s">
        <v>57</v>
      </c>
      <c r="H19" s="16">
        <v>49.0</v>
      </c>
      <c r="I19" s="14" t="s">
        <v>44</v>
      </c>
      <c r="J19" s="16" t="s">
        <v>58</v>
      </c>
      <c r="K19" s="17" t="s">
        <v>46</v>
      </c>
      <c r="L19" s="17">
        <f>IF(AND(I19="Yes",'Carry list'!$B$4&lt;&gt;"",ISNUMBER('Carry list'!$F$4),'Carry list'!$F$4&gt;=1,'Carry list'!$F$4&lt;=60,'Carry list'!$F$4=INT('Carry list'!$F$4),'Carry list'!$F$4&gt;=D19,OR(E19="All",ISNUMBER(SEARCH('Carry list'!$B$4,E19)))),1,0)</f>
        <v>0</v>
      </c>
      <c r="M19" s="17">
        <f t="shared" si="1"/>
        <v>0</v>
      </c>
      <c r="N19" s="17">
        <f t="shared" si="2"/>
        <v>0</v>
      </c>
      <c r="O19" s="17" t="str">
        <f t="shared" si="3"/>
        <v/>
      </c>
      <c r="P19" s="17" t="s">
        <v>55</v>
      </c>
      <c r="Q19" s="17">
        <v>49.0</v>
      </c>
      <c r="R19" s="17" t="s">
        <v>56</v>
      </c>
      <c r="S19" s="17" t="s">
        <v>59</v>
      </c>
      <c r="T19" s="17" t="s">
        <v>48</v>
      </c>
    </row>
    <row r="20" ht="30.75" customHeight="1">
      <c r="A20" s="13" t="s">
        <v>65</v>
      </c>
      <c r="B20" s="13" t="s">
        <v>8</v>
      </c>
      <c r="C20" s="13" t="s">
        <v>66</v>
      </c>
      <c r="D20" s="13">
        <v>5.0</v>
      </c>
      <c r="E20" s="13" t="s">
        <v>41</v>
      </c>
      <c r="F20" s="13" t="s">
        <v>42</v>
      </c>
      <c r="G20" s="13" t="s">
        <v>67</v>
      </c>
      <c r="H20" s="13">
        <v>5.0</v>
      </c>
      <c r="I20" s="14" t="s">
        <v>44</v>
      </c>
      <c r="J20" s="13" t="s">
        <v>68</v>
      </c>
      <c r="K20" s="15" t="s">
        <v>46</v>
      </c>
      <c r="L20" s="15">
        <f>IF(AND(I20="Yes",'Carry list'!$B$4&lt;&gt;"",ISNUMBER('Carry list'!$F$4),'Carry list'!$F$4&gt;=1,'Carry list'!$F$4&lt;=60,'Carry list'!$F$4=INT('Carry list'!$F$4),'Carry list'!$F$4&gt;=D20,OR(E20="All",ISNUMBER(SEARCH('Carry list'!$B$4,E20)))),1,0)</f>
        <v>1</v>
      </c>
      <c r="M20" s="15">
        <f t="shared" si="1"/>
        <v>0</v>
      </c>
      <c r="N20" s="15">
        <f t="shared" si="2"/>
        <v>1</v>
      </c>
      <c r="O20" s="15" t="str">
        <f t="shared" si="3"/>
        <v>Potions3</v>
      </c>
      <c r="P20" s="15" t="s">
        <v>66</v>
      </c>
      <c r="Q20" s="15">
        <v>5.0</v>
      </c>
      <c r="R20" s="15" t="s">
        <v>41</v>
      </c>
      <c r="S20" s="15" t="s">
        <v>69</v>
      </c>
      <c r="T20" s="15" t="s">
        <v>48</v>
      </c>
    </row>
    <row r="21" ht="30.75" customHeight="1">
      <c r="A21" s="16" t="s">
        <v>70</v>
      </c>
      <c r="B21" s="16" t="s">
        <v>8</v>
      </c>
      <c r="C21" s="16" t="s">
        <v>71</v>
      </c>
      <c r="D21" s="16">
        <v>20.0</v>
      </c>
      <c r="E21" s="16" t="s">
        <v>41</v>
      </c>
      <c r="F21" s="16" t="s">
        <v>42</v>
      </c>
      <c r="G21" s="16" t="s">
        <v>72</v>
      </c>
      <c r="H21" s="16">
        <v>20.0</v>
      </c>
      <c r="I21" s="14" t="s">
        <v>44</v>
      </c>
      <c r="J21" s="16" t="s">
        <v>73</v>
      </c>
      <c r="K21" s="17" t="s">
        <v>46</v>
      </c>
      <c r="L21" s="17">
        <f>IF(AND(I21="Yes",'Carry list'!$B$4&lt;&gt;"",ISNUMBER('Carry list'!$F$4),'Carry list'!$F$4&gt;=1,'Carry list'!$F$4&lt;=60,'Carry list'!$F$4=INT('Carry list'!$F$4),'Carry list'!$F$4&gt;=D21,OR(E21="All",ISNUMBER(SEARCH('Carry list'!$B$4,E21)))),1,0)</f>
        <v>1</v>
      </c>
      <c r="M21" s="17">
        <f t="shared" si="1"/>
        <v>0</v>
      </c>
      <c r="N21" s="17">
        <f t="shared" si="2"/>
        <v>1</v>
      </c>
      <c r="O21" s="17" t="str">
        <f t="shared" si="3"/>
        <v>Potions4</v>
      </c>
      <c r="P21" s="17" t="s">
        <v>71</v>
      </c>
      <c r="Q21" s="17">
        <v>20.0</v>
      </c>
      <c r="R21" s="17" t="s">
        <v>41</v>
      </c>
      <c r="S21" s="17" t="s">
        <v>74</v>
      </c>
      <c r="T21" s="17" t="s">
        <v>48</v>
      </c>
    </row>
    <row r="22" ht="30.75" customHeight="1">
      <c r="A22" s="13" t="s">
        <v>75</v>
      </c>
      <c r="B22" s="13" t="s">
        <v>8</v>
      </c>
      <c r="C22" s="13" t="s">
        <v>76</v>
      </c>
      <c r="D22" s="13">
        <v>10.0</v>
      </c>
      <c r="E22" s="13" t="s">
        <v>41</v>
      </c>
      <c r="F22" s="13" t="s">
        <v>77</v>
      </c>
      <c r="G22" s="13" t="s">
        <v>78</v>
      </c>
      <c r="H22" s="13">
        <v>10.0</v>
      </c>
      <c r="I22" s="14" t="s">
        <v>44</v>
      </c>
      <c r="J22" s="13" t="s">
        <v>79</v>
      </c>
      <c r="K22" s="15" t="s">
        <v>46</v>
      </c>
      <c r="L22" s="15">
        <f>IF(AND(I22="Yes",'Carry list'!$B$4&lt;&gt;"",ISNUMBER('Carry list'!$F$4),'Carry list'!$F$4&gt;=1,'Carry list'!$F$4&lt;=60,'Carry list'!$F$4=INT('Carry list'!$F$4),'Carry list'!$F$4&gt;=D22,OR(E22="All",ISNUMBER(SEARCH('Carry list'!$B$4,E22)))),1,0)</f>
        <v>1</v>
      </c>
      <c r="M22" s="15">
        <f t="shared" si="1"/>
        <v>0</v>
      </c>
      <c r="N22" s="15">
        <f t="shared" si="2"/>
        <v>1</v>
      </c>
      <c r="O22" s="15" t="str">
        <f t="shared" si="3"/>
        <v>Potions5</v>
      </c>
      <c r="P22" s="15" t="s">
        <v>76</v>
      </c>
      <c r="Q22" s="15">
        <v>10.0</v>
      </c>
      <c r="R22" s="15" t="s">
        <v>41</v>
      </c>
      <c r="S22" s="15" t="s">
        <v>69</v>
      </c>
      <c r="T22" s="15" t="s">
        <v>48</v>
      </c>
    </row>
    <row r="23" ht="30.75" customHeight="1">
      <c r="A23" s="16" t="s">
        <v>80</v>
      </c>
      <c r="B23" s="16" t="s">
        <v>8</v>
      </c>
      <c r="C23" s="16" t="s">
        <v>81</v>
      </c>
      <c r="D23" s="16">
        <v>45.0</v>
      </c>
      <c r="E23" s="16" t="s">
        <v>41</v>
      </c>
      <c r="F23" s="16" t="s">
        <v>77</v>
      </c>
      <c r="G23" s="16" t="s">
        <v>82</v>
      </c>
      <c r="H23" s="16">
        <v>45.0</v>
      </c>
      <c r="I23" s="14" t="s">
        <v>44</v>
      </c>
      <c r="J23" s="16" t="s">
        <v>83</v>
      </c>
      <c r="K23" s="17" t="s">
        <v>84</v>
      </c>
      <c r="L23" s="17">
        <f>IF(AND(I23="Yes",'Carry list'!$B$4&lt;&gt;"",ISNUMBER('Carry list'!$F$4),'Carry list'!$F$4&gt;=1,'Carry list'!$F$4&lt;=60,'Carry list'!$F$4=INT('Carry list'!$F$4),'Carry list'!$F$4&gt;=D23,OR(E23="All",ISNUMBER(SEARCH('Carry list'!$B$4,E23)))),1,0)</f>
        <v>0</v>
      </c>
      <c r="M23" s="17">
        <f t="shared" si="1"/>
        <v>0</v>
      </c>
      <c r="N23" s="17">
        <f t="shared" si="2"/>
        <v>0</v>
      </c>
      <c r="O23" s="17" t="str">
        <f t="shared" si="3"/>
        <v/>
      </c>
      <c r="P23" s="17" t="s">
        <v>81</v>
      </c>
      <c r="Q23" s="17">
        <v>45.0</v>
      </c>
      <c r="R23" s="17" t="s">
        <v>41</v>
      </c>
      <c r="S23" s="17" t="s">
        <v>85</v>
      </c>
      <c r="T23" s="17" t="s">
        <v>48</v>
      </c>
    </row>
    <row r="24" ht="30.75" customHeight="1">
      <c r="A24" s="13" t="s">
        <v>86</v>
      </c>
      <c r="B24" s="13" t="s">
        <v>8</v>
      </c>
      <c r="C24" s="13" t="s">
        <v>87</v>
      </c>
      <c r="D24" s="13">
        <v>47.0</v>
      </c>
      <c r="E24" s="13" t="s">
        <v>41</v>
      </c>
      <c r="F24" s="13" t="s">
        <v>77</v>
      </c>
      <c r="G24" s="13" t="s">
        <v>88</v>
      </c>
      <c r="H24" s="13">
        <v>47.0</v>
      </c>
      <c r="I24" s="14" t="s">
        <v>44</v>
      </c>
      <c r="J24" s="13" t="s">
        <v>89</v>
      </c>
      <c r="K24" s="15" t="s">
        <v>90</v>
      </c>
      <c r="L24" s="15">
        <f>IF(AND(I24="Yes",'Carry list'!$B$4&lt;&gt;"",ISNUMBER('Carry list'!$F$4),'Carry list'!$F$4&gt;=1,'Carry list'!$F$4&lt;=60,'Carry list'!$F$4=INT('Carry list'!$F$4),'Carry list'!$F$4&gt;=D24,OR(E24="All",ISNUMBER(SEARCH('Carry list'!$B$4,E24)))),1,0)</f>
        <v>0</v>
      </c>
      <c r="M24" s="15">
        <f t="shared" si="1"/>
        <v>0</v>
      </c>
      <c r="N24" s="15">
        <f t="shared" si="2"/>
        <v>0</v>
      </c>
      <c r="O24" s="15" t="str">
        <f t="shared" si="3"/>
        <v/>
      </c>
      <c r="P24" s="15" t="s">
        <v>91</v>
      </c>
      <c r="Q24" s="15">
        <v>47.0</v>
      </c>
      <c r="R24" s="15" t="s">
        <v>41</v>
      </c>
      <c r="S24" s="15" t="s">
        <v>74</v>
      </c>
      <c r="T24" s="15" t="s">
        <v>48</v>
      </c>
    </row>
    <row r="25" ht="30.75" customHeight="1">
      <c r="A25" s="16" t="s">
        <v>92</v>
      </c>
      <c r="B25" s="16" t="s">
        <v>8</v>
      </c>
      <c r="C25" s="16" t="s">
        <v>93</v>
      </c>
      <c r="D25" s="16">
        <v>32.0</v>
      </c>
      <c r="E25" s="16" t="s">
        <v>41</v>
      </c>
      <c r="F25" s="16" t="s">
        <v>77</v>
      </c>
      <c r="G25" s="16" t="s">
        <v>92</v>
      </c>
      <c r="H25" s="16">
        <v>32.0</v>
      </c>
      <c r="I25" s="14" t="s">
        <v>44</v>
      </c>
      <c r="J25" s="16" t="s">
        <v>94</v>
      </c>
      <c r="K25" s="17" t="s">
        <v>95</v>
      </c>
      <c r="L25" s="17">
        <f>IF(AND(I25="Yes",'Carry list'!$B$4&lt;&gt;"",ISNUMBER('Carry list'!$F$4),'Carry list'!$F$4&gt;=1,'Carry list'!$F$4&lt;=60,'Carry list'!$F$4=INT('Carry list'!$F$4),'Carry list'!$F$4&gt;=D25,OR(E25="All",ISNUMBER(SEARCH('Carry list'!$B$4,E25)))),1,0)</f>
        <v>0</v>
      </c>
      <c r="M25" s="17">
        <f t="shared" si="1"/>
        <v>0</v>
      </c>
      <c r="N25" s="17">
        <f t="shared" si="2"/>
        <v>0</v>
      </c>
      <c r="O25" s="17" t="str">
        <f t="shared" si="3"/>
        <v/>
      </c>
      <c r="P25" s="17" t="s">
        <v>96</v>
      </c>
      <c r="Q25" s="17">
        <v>32.0</v>
      </c>
      <c r="R25" s="17" t="s">
        <v>41</v>
      </c>
      <c r="S25" s="17" t="s">
        <v>97</v>
      </c>
      <c r="T25" s="17" t="s">
        <v>48</v>
      </c>
    </row>
    <row r="26" ht="30.75" customHeight="1">
      <c r="A26" s="13" t="s">
        <v>98</v>
      </c>
      <c r="B26" s="13" t="s">
        <v>8</v>
      </c>
      <c r="C26" s="13" t="s">
        <v>99</v>
      </c>
      <c r="D26" s="13">
        <v>47.0</v>
      </c>
      <c r="E26" s="13" t="s">
        <v>41</v>
      </c>
      <c r="F26" s="13" t="s">
        <v>77</v>
      </c>
      <c r="G26" s="13" t="s">
        <v>98</v>
      </c>
      <c r="H26" s="13">
        <v>47.0</v>
      </c>
      <c r="I26" s="14" t="s">
        <v>44</v>
      </c>
      <c r="J26" s="13" t="s">
        <v>100</v>
      </c>
      <c r="K26" s="15" t="s">
        <v>101</v>
      </c>
      <c r="L26" s="15">
        <f>IF(AND(I26="Yes",'Carry list'!$B$4&lt;&gt;"",ISNUMBER('Carry list'!$F$4),'Carry list'!$F$4&gt;=1,'Carry list'!$F$4&lt;=60,'Carry list'!$F$4=INT('Carry list'!$F$4),'Carry list'!$F$4&gt;=D26,OR(E26="All",ISNUMBER(SEARCH('Carry list'!$B$4,E26)))),1,0)</f>
        <v>0</v>
      </c>
      <c r="M26" s="15">
        <f t="shared" si="1"/>
        <v>0</v>
      </c>
      <c r="N26" s="15">
        <f t="shared" si="2"/>
        <v>0</v>
      </c>
      <c r="O26" s="15" t="str">
        <f t="shared" si="3"/>
        <v/>
      </c>
      <c r="P26" s="15" t="s">
        <v>96</v>
      </c>
      <c r="Q26" s="15">
        <v>47.0</v>
      </c>
      <c r="R26" s="15" t="s">
        <v>41</v>
      </c>
      <c r="S26" s="15" t="s">
        <v>97</v>
      </c>
      <c r="T26" s="15" t="s">
        <v>48</v>
      </c>
    </row>
    <row r="27" ht="30.75" customHeight="1">
      <c r="A27" s="16" t="s">
        <v>102</v>
      </c>
      <c r="B27" s="16" t="s">
        <v>8</v>
      </c>
      <c r="C27" s="16" t="s">
        <v>103</v>
      </c>
      <c r="D27" s="16">
        <v>23.0</v>
      </c>
      <c r="E27" s="16" t="s">
        <v>41</v>
      </c>
      <c r="F27" s="16" t="s">
        <v>77</v>
      </c>
      <c r="G27" s="16" t="s">
        <v>104</v>
      </c>
      <c r="H27" s="16">
        <v>23.0</v>
      </c>
      <c r="I27" s="14" t="s">
        <v>44</v>
      </c>
      <c r="J27" s="16" t="s">
        <v>105</v>
      </c>
      <c r="K27" s="17" t="s">
        <v>46</v>
      </c>
      <c r="L27" s="17">
        <f>IF(AND(I27="Yes",'Carry list'!$B$4&lt;&gt;"",ISNUMBER('Carry list'!$F$4),'Carry list'!$F$4&gt;=1,'Carry list'!$F$4&lt;=60,'Carry list'!$F$4=INT('Carry list'!$F$4),'Carry list'!$F$4&gt;=D27,OR(E27="All",ISNUMBER(SEARCH('Carry list'!$B$4,E27)))),1,0)</f>
        <v>1</v>
      </c>
      <c r="M27" s="17">
        <f t="shared" si="1"/>
        <v>0</v>
      </c>
      <c r="N27" s="17">
        <f t="shared" si="2"/>
        <v>1</v>
      </c>
      <c r="O27" s="17" t="str">
        <f t="shared" si="3"/>
        <v>Potions6</v>
      </c>
      <c r="P27" s="17" t="s">
        <v>103</v>
      </c>
      <c r="Q27" s="17">
        <v>23.0</v>
      </c>
      <c r="R27" s="17" t="s">
        <v>41</v>
      </c>
      <c r="S27" s="17" t="s">
        <v>106</v>
      </c>
      <c r="T27" s="17" t="s">
        <v>48</v>
      </c>
    </row>
    <row r="28" ht="30.75" customHeight="1">
      <c r="A28" s="13" t="s">
        <v>107</v>
      </c>
      <c r="B28" s="13" t="s">
        <v>8</v>
      </c>
      <c r="C28" s="13" t="s">
        <v>103</v>
      </c>
      <c r="D28" s="13">
        <v>37.0</v>
      </c>
      <c r="E28" s="13" t="s">
        <v>41</v>
      </c>
      <c r="F28" s="13" t="s">
        <v>77</v>
      </c>
      <c r="G28" s="13" t="s">
        <v>104</v>
      </c>
      <c r="H28" s="13">
        <v>37.0</v>
      </c>
      <c r="I28" s="14" t="s">
        <v>44</v>
      </c>
      <c r="J28" s="13" t="s">
        <v>105</v>
      </c>
      <c r="K28" s="15" t="s">
        <v>46</v>
      </c>
      <c r="L28" s="15">
        <f>IF(AND(I28="Yes",'Carry list'!$B$4&lt;&gt;"",ISNUMBER('Carry list'!$F$4),'Carry list'!$F$4&gt;=1,'Carry list'!$F$4&lt;=60,'Carry list'!$F$4=INT('Carry list'!$F$4),'Carry list'!$F$4&gt;=D28,OR(E28="All",ISNUMBER(SEARCH('Carry list'!$B$4,E28)))),1,0)</f>
        <v>0</v>
      </c>
      <c r="M28" s="15">
        <f t="shared" si="1"/>
        <v>0</v>
      </c>
      <c r="N28" s="15">
        <f t="shared" si="2"/>
        <v>0</v>
      </c>
      <c r="O28" s="15" t="str">
        <f t="shared" si="3"/>
        <v/>
      </c>
      <c r="P28" s="15" t="s">
        <v>103</v>
      </c>
      <c r="Q28" s="15">
        <v>37.0</v>
      </c>
      <c r="R28" s="15" t="s">
        <v>41</v>
      </c>
      <c r="S28" s="15" t="s">
        <v>106</v>
      </c>
      <c r="T28" s="15" t="s">
        <v>48</v>
      </c>
    </row>
    <row r="29" ht="30.75" customHeight="1">
      <c r="A29" s="16" t="s">
        <v>108</v>
      </c>
      <c r="B29" s="16" t="s">
        <v>8</v>
      </c>
      <c r="C29" s="16" t="s">
        <v>109</v>
      </c>
      <c r="D29" s="16">
        <v>50.0</v>
      </c>
      <c r="E29" s="16" t="s">
        <v>41</v>
      </c>
      <c r="F29" s="16" t="s">
        <v>77</v>
      </c>
      <c r="G29" s="16" t="s">
        <v>110</v>
      </c>
      <c r="H29" s="16">
        <v>50.0</v>
      </c>
      <c r="I29" s="14" t="s">
        <v>44</v>
      </c>
      <c r="J29" s="16" t="s">
        <v>111</v>
      </c>
      <c r="K29" s="17" t="s">
        <v>112</v>
      </c>
      <c r="L29" s="17">
        <f>IF(AND(I29="Yes",'Carry list'!$B$4&lt;&gt;"",ISNUMBER('Carry list'!$F$4),'Carry list'!$F$4&gt;=1,'Carry list'!$F$4&lt;=60,'Carry list'!$F$4=INT('Carry list'!$F$4),'Carry list'!$F$4&gt;=D29,OR(E29="All",ISNUMBER(SEARCH('Carry list'!$B$4,E29)))),1,0)</f>
        <v>0</v>
      </c>
      <c r="M29" s="17">
        <f t="shared" si="1"/>
        <v>0</v>
      </c>
      <c r="N29" s="17">
        <f t="shared" si="2"/>
        <v>0</v>
      </c>
      <c r="O29" s="17" t="str">
        <f t="shared" si="3"/>
        <v/>
      </c>
      <c r="P29" s="17" t="s">
        <v>109</v>
      </c>
      <c r="Q29" s="17">
        <v>50.0</v>
      </c>
      <c r="R29" s="17" t="s">
        <v>41</v>
      </c>
      <c r="S29" s="17" t="s">
        <v>85</v>
      </c>
      <c r="T29" s="17" t="s">
        <v>113</v>
      </c>
    </row>
    <row r="30" ht="30.75" customHeight="1">
      <c r="A30" s="13" t="s">
        <v>114</v>
      </c>
      <c r="B30" s="13" t="s">
        <v>8</v>
      </c>
      <c r="C30" s="13" t="s">
        <v>115</v>
      </c>
      <c r="D30" s="13">
        <v>0.0</v>
      </c>
      <c r="E30" s="13" t="s">
        <v>41</v>
      </c>
      <c r="F30" s="13" t="s">
        <v>116</v>
      </c>
      <c r="G30" s="13" t="s">
        <v>117</v>
      </c>
      <c r="H30" s="13">
        <v>0.0</v>
      </c>
      <c r="I30" s="14" t="s">
        <v>44</v>
      </c>
      <c r="J30" s="13" t="s">
        <v>118</v>
      </c>
      <c r="K30" s="15" t="s">
        <v>46</v>
      </c>
      <c r="L30" s="15">
        <f>IF(AND(I30="Yes",'Carry list'!$B$4&lt;&gt;"",ISNUMBER('Carry list'!$F$4),'Carry list'!$F$4&gt;=1,'Carry list'!$F$4&lt;=60,'Carry list'!$F$4=INT('Carry list'!$F$4),'Carry list'!$F$4&gt;=D30,OR(E30="All",ISNUMBER(SEARCH('Carry list'!$B$4,E30)))),1,0)</f>
        <v>1</v>
      </c>
      <c r="M30" s="15">
        <f t="shared" si="1"/>
        <v>1</v>
      </c>
      <c r="N30" s="15">
        <f t="shared" si="2"/>
        <v>0</v>
      </c>
      <c r="O30" s="15" t="str">
        <f t="shared" si="3"/>
        <v/>
      </c>
      <c r="P30" s="15" t="s">
        <v>115</v>
      </c>
      <c r="Q30" s="15">
        <v>0.0</v>
      </c>
      <c r="R30" s="15" t="s">
        <v>41</v>
      </c>
      <c r="S30" s="15" t="s">
        <v>119</v>
      </c>
      <c r="T30" s="15" t="s">
        <v>48</v>
      </c>
    </row>
    <row r="31" ht="30.75" customHeight="1">
      <c r="A31" s="16" t="s">
        <v>120</v>
      </c>
      <c r="B31" s="16" t="s">
        <v>8</v>
      </c>
      <c r="C31" s="16" t="s">
        <v>115</v>
      </c>
      <c r="D31" s="16">
        <v>15.0</v>
      </c>
      <c r="E31" s="16" t="s">
        <v>41</v>
      </c>
      <c r="F31" s="16" t="s">
        <v>116</v>
      </c>
      <c r="G31" s="16" t="s">
        <v>117</v>
      </c>
      <c r="H31" s="16">
        <v>15.0</v>
      </c>
      <c r="I31" s="14" t="s">
        <v>44</v>
      </c>
      <c r="J31" s="16" t="s">
        <v>118</v>
      </c>
      <c r="K31" s="17" t="s">
        <v>46</v>
      </c>
      <c r="L31" s="17">
        <f>IF(AND(I31="Yes",'Carry list'!$B$4&lt;&gt;"",ISNUMBER('Carry list'!$F$4),'Carry list'!$F$4&gt;=1,'Carry list'!$F$4&lt;=60,'Carry list'!$F$4=INT('Carry list'!$F$4),'Carry list'!$F$4&gt;=D31,OR(E31="All",ISNUMBER(SEARCH('Carry list'!$B$4,E31)))),1,0)</f>
        <v>1</v>
      </c>
      <c r="M31" s="17">
        <f t="shared" si="1"/>
        <v>0</v>
      </c>
      <c r="N31" s="17">
        <f t="shared" si="2"/>
        <v>1</v>
      </c>
      <c r="O31" s="17" t="str">
        <f t="shared" si="3"/>
        <v>Potions7</v>
      </c>
      <c r="P31" s="17" t="s">
        <v>115</v>
      </c>
      <c r="Q31" s="17">
        <v>15.0</v>
      </c>
      <c r="R31" s="17" t="s">
        <v>41</v>
      </c>
      <c r="S31" s="17" t="s">
        <v>119</v>
      </c>
      <c r="T31" s="17" t="s">
        <v>48</v>
      </c>
    </row>
    <row r="32" ht="30.75" customHeight="1">
      <c r="A32" s="13" t="s">
        <v>121</v>
      </c>
      <c r="B32" s="13" t="s">
        <v>8</v>
      </c>
      <c r="C32" s="13" t="s">
        <v>115</v>
      </c>
      <c r="D32" s="13">
        <v>26.0</v>
      </c>
      <c r="E32" s="13" t="s">
        <v>41</v>
      </c>
      <c r="F32" s="13" t="s">
        <v>116</v>
      </c>
      <c r="G32" s="13" t="s">
        <v>117</v>
      </c>
      <c r="H32" s="13">
        <v>26.0</v>
      </c>
      <c r="I32" s="14" t="s">
        <v>44</v>
      </c>
      <c r="J32" s="13" t="s">
        <v>118</v>
      </c>
      <c r="K32" s="15" t="s">
        <v>46</v>
      </c>
      <c r="L32" s="15">
        <f>IF(AND(I32="Yes",'Carry list'!$B$4&lt;&gt;"",ISNUMBER('Carry list'!$F$4),'Carry list'!$F$4&gt;=1,'Carry list'!$F$4&lt;=60,'Carry list'!$F$4=INT('Carry list'!$F$4),'Carry list'!$F$4&gt;=D32,OR(E32="All",ISNUMBER(SEARCH('Carry list'!$B$4,E32)))),1,0)</f>
        <v>0</v>
      </c>
      <c r="M32" s="15">
        <f t="shared" si="1"/>
        <v>0</v>
      </c>
      <c r="N32" s="15">
        <f t="shared" si="2"/>
        <v>0</v>
      </c>
      <c r="O32" s="15" t="str">
        <f t="shared" si="3"/>
        <v/>
      </c>
      <c r="P32" s="15" t="s">
        <v>115</v>
      </c>
      <c r="Q32" s="15">
        <v>26.0</v>
      </c>
      <c r="R32" s="15" t="s">
        <v>41</v>
      </c>
      <c r="S32" s="15" t="s">
        <v>119</v>
      </c>
      <c r="T32" s="15" t="s">
        <v>48</v>
      </c>
    </row>
    <row r="33" ht="30.75" customHeight="1">
      <c r="A33" s="16" t="s">
        <v>122</v>
      </c>
      <c r="B33" s="16" t="s">
        <v>8</v>
      </c>
      <c r="C33" s="16" t="s">
        <v>115</v>
      </c>
      <c r="D33" s="16">
        <v>53.0</v>
      </c>
      <c r="E33" s="16" t="s">
        <v>41</v>
      </c>
      <c r="F33" s="16" t="s">
        <v>116</v>
      </c>
      <c r="G33" s="16" t="s">
        <v>117</v>
      </c>
      <c r="H33" s="16">
        <v>53.0</v>
      </c>
      <c r="I33" s="14" t="s">
        <v>44</v>
      </c>
      <c r="J33" s="16" t="s">
        <v>118</v>
      </c>
      <c r="K33" s="17" t="s">
        <v>46</v>
      </c>
      <c r="L33" s="17">
        <f>IF(AND(I33="Yes",'Carry list'!$B$4&lt;&gt;"",ISNUMBER('Carry list'!$F$4),'Carry list'!$F$4&gt;=1,'Carry list'!$F$4&lt;=60,'Carry list'!$F$4=INT('Carry list'!$F$4),'Carry list'!$F$4&gt;=D33,OR(E33="All",ISNUMBER(SEARCH('Carry list'!$B$4,E33)))),1,0)</f>
        <v>0</v>
      </c>
      <c r="M33" s="17">
        <f t="shared" si="1"/>
        <v>0</v>
      </c>
      <c r="N33" s="17">
        <f t="shared" si="2"/>
        <v>0</v>
      </c>
      <c r="O33" s="17" t="str">
        <f t="shared" si="3"/>
        <v/>
      </c>
      <c r="P33" s="17" t="s">
        <v>115</v>
      </c>
      <c r="Q33" s="17">
        <v>53.0</v>
      </c>
      <c r="R33" s="17" t="s">
        <v>41</v>
      </c>
      <c r="S33" s="17" t="s">
        <v>119</v>
      </c>
      <c r="T33" s="17" t="s">
        <v>48</v>
      </c>
    </row>
    <row r="34" ht="30.75" customHeight="1">
      <c r="A34" s="13" t="s">
        <v>123</v>
      </c>
      <c r="B34" s="13" t="s">
        <v>8</v>
      </c>
      <c r="C34" s="13" t="s">
        <v>124</v>
      </c>
      <c r="D34" s="13">
        <v>40.0</v>
      </c>
      <c r="E34" s="13" t="s">
        <v>56</v>
      </c>
      <c r="F34" s="13" t="s">
        <v>116</v>
      </c>
      <c r="G34" s="13" t="s">
        <v>125</v>
      </c>
      <c r="H34" s="13">
        <v>40.0</v>
      </c>
      <c r="I34" s="14" t="s">
        <v>44</v>
      </c>
      <c r="J34" s="13" t="s">
        <v>118</v>
      </c>
      <c r="K34" s="15" t="s">
        <v>46</v>
      </c>
      <c r="L34" s="15">
        <f>IF(AND(I34="Yes",'Carry list'!$B$4&lt;&gt;"",ISNUMBER('Carry list'!$F$4),'Carry list'!$F$4&gt;=1,'Carry list'!$F$4&lt;=60,'Carry list'!$F$4=INT('Carry list'!$F$4),'Carry list'!$F$4&gt;=D34,OR(E34="All",ISNUMBER(SEARCH('Carry list'!$B$4,E34)))),1,0)</f>
        <v>0</v>
      </c>
      <c r="M34" s="15">
        <f t="shared" si="1"/>
        <v>0</v>
      </c>
      <c r="N34" s="15">
        <f t="shared" si="2"/>
        <v>0</v>
      </c>
      <c r="O34" s="15" t="str">
        <f t="shared" si="3"/>
        <v/>
      </c>
      <c r="P34" s="15" t="s">
        <v>124</v>
      </c>
      <c r="Q34" s="15">
        <v>40.0</v>
      </c>
      <c r="R34" s="15" t="s">
        <v>56</v>
      </c>
      <c r="S34" s="15" t="s">
        <v>119</v>
      </c>
      <c r="T34" s="15" t="s">
        <v>48</v>
      </c>
    </row>
    <row r="35" ht="30.75" customHeight="1">
      <c r="A35" s="16" t="s">
        <v>126</v>
      </c>
      <c r="B35" s="16" t="s">
        <v>8</v>
      </c>
      <c r="C35" s="16" t="s">
        <v>127</v>
      </c>
      <c r="D35" s="16">
        <v>5.0</v>
      </c>
      <c r="E35" s="16" t="s">
        <v>41</v>
      </c>
      <c r="F35" s="16" t="s">
        <v>128</v>
      </c>
      <c r="G35" s="16" t="s">
        <v>129</v>
      </c>
      <c r="H35" s="16">
        <v>5.0</v>
      </c>
      <c r="I35" s="14" t="s">
        <v>130</v>
      </c>
      <c r="J35" s="16" t="s">
        <v>118</v>
      </c>
      <c r="K35" s="17" t="s">
        <v>46</v>
      </c>
      <c r="L35" s="17">
        <f>IF(AND(I35="Yes",'Carry list'!$B$4&lt;&gt;"",ISNUMBER('Carry list'!$F$4),'Carry list'!$F$4&gt;=1,'Carry list'!$F$4&lt;=60,'Carry list'!$F$4=INT('Carry list'!$F$4),'Carry list'!$F$4&gt;=D35,OR(E35="All",ISNUMBER(SEARCH('Carry list'!$B$4,E35)))),1,0)</f>
        <v>0</v>
      </c>
      <c r="M35" s="17">
        <f t="shared" si="1"/>
        <v>0</v>
      </c>
      <c r="N35" s="17">
        <f t="shared" si="2"/>
        <v>0</v>
      </c>
      <c r="O35" s="17" t="str">
        <f t="shared" si="3"/>
        <v/>
      </c>
      <c r="P35" s="17" t="s">
        <v>127</v>
      </c>
      <c r="Q35" s="17">
        <v>5.0</v>
      </c>
      <c r="R35" s="17" t="s">
        <v>41</v>
      </c>
      <c r="S35" s="17" t="s">
        <v>131</v>
      </c>
      <c r="T35" s="17" t="s">
        <v>48</v>
      </c>
    </row>
    <row r="36" ht="30.75" customHeight="1">
      <c r="A36" s="13" t="s">
        <v>132</v>
      </c>
      <c r="B36" s="13" t="s">
        <v>8</v>
      </c>
      <c r="C36" s="13" t="s">
        <v>127</v>
      </c>
      <c r="D36" s="13">
        <v>50.0</v>
      </c>
      <c r="E36" s="13" t="s">
        <v>41</v>
      </c>
      <c r="F36" s="13" t="s">
        <v>128</v>
      </c>
      <c r="G36" s="13" t="s">
        <v>129</v>
      </c>
      <c r="H36" s="13">
        <v>50.0</v>
      </c>
      <c r="I36" s="14" t="s">
        <v>130</v>
      </c>
      <c r="J36" s="13" t="s">
        <v>118</v>
      </c>
      <c r="K36" s="15" t="s">
        <v>46</v>
      </c>
      <c r="L36" s="15">
        <f>IF(AND(I36="Yes",'Carry list'!$B$4&lt;&gt;"",ISNUMBER('Carry list'!$F$4),'Carry list'!$F$4&gt;=1,'Carry list'!$F$4&lt;=60,'Carry list'!$F$4=INT('Carry list'!$F$4),'Carry list'!$F$4&gt;=D36,OR(E36="All",ISNUMBER(SEARCH('Carry list'!$B$4,E36)))),1,0)</f>
        <v>0</v>
      </c>
      <c r="M36" s="15">
        <f t="shared" si="1"/>
        <v>0</v>
      </c>
      <c r="N36" s="15">
        <f t="shared" si="2"/>
        <v>0</v>
      </c>
      <c r="O36" s="15" t="str">
        <f t="shared" si="3"/>
        <v/>
      </c>
      <c r="P36" s="15" t="s">
        <v>127</v>
      </c>
      <c r="Q36" s="15">
        <v>50.0</v>
      </c>
      <c r="R36" s="15" t="s">
        <v>41</v>
      </c>
      <c r="S36" s="15" t="s">
        <v>131</v>
      </c>
      <c r="T36" s="15" t="s">
        <v>48</v>
      </c>
    </row>
    <row r="37" ht="30.75" customHeight="1">
      <c r="A37" s="16" t="s">
        <v>133</v>
      </c>
      <c r="B37" s="16" t="s">
        <v>8</v>
      </c>
      <c r="C37" s="16" t="s">
        <v>134</v>
      </c>
      <c r="D37" s="16">
        <v>4.0</v>
      </c>
      <c r="E37" s="16" t="s">
        <v>135</v>
      </c>
      <c r="F37" s="16" t="s">
        <v>128</v>
      </c>
      <c r="G37" s="16" t="s">
        <v>136</v>
      </c>
      <c r="H37" s="16">
        <v>4.0</v>
      </c>
      <c r="I37" s="14" t="s">
        <v>130</v>
      </c>
      <c r="J37" s="16" t="s">
        <v>118</v>
      </c>
      <c r="K37" s="17" t="s">
        <v>46</v>
      </c>
      <c r="L37" s="17">
        <f>IF(AND(I37="Yes",'Carry list'!$B$4&lt;&gt;"",ISNUMBER('Carry list'!$F$4),'Carry list'!$F$4&gt;=1,'Carry list'!$F$4&lt;=60,'Carry list'!$F$4=INT('Carry list'!$F$4),'Carry list'!$F$4&gt;=D37,OR(E37="All",ISNUMBER(SEARCH('Carry list'!$B$4,E37)))),1,0)</f>
        <v>0</v>
      </c>
      <c r="M37" s="17">
        <f t="shared" si="1"/>
        <v>0</v>
      </c>
      <c r="N37" s="17">
        <f t="shared" si="2"/>
        <v>0</v>
      </c>
      <c r="O37" s="17" t="str">
        <f t="shared" si="3"/>
        <v/>
      </c>
      <c r="P37" s="17" t="s">
        <v>134</v>
      </c>
      <c r="Q37" s="17">
        <v>4.0</v>
      </c>
      <c r="R37" s="17" t="s">
        <v>135</v>
      </c>
      <c r="S37" s="17" t="s">
        <v>137</v>
      </c>
      <c r="T37" s="17" t="s">
        <v>48</v>
      </c>
    </row>
    <row r="38" ht="30.75" customHeight="1">
      <c r="A38" s="13" t="s">
        <v>138</v>
      </c>
      <c r="B38" s="13" t="s">
        <v>8</v>
      </c>
      <c r="C38" s="13" t="s">
        <v>134</v>
      </c>
      <c r="D38" s="13">
        <v>25.0</v>
      </c>
      <c r="E38" s="13" t="s">
        <v>135</v>
      </c>
      <c r="F38" s="13" t="s">
        <v>128</v>
      </c>
      <c r="G38" s="13" t="s">
        <v>136</v>
      </c>
      <c r="H38" s="13">
        <v>25.0</v>
      </c>
      <c r="I38" s="14" t="s">
        <v>130</v>
      </c>
      <c r="J38" s="13" t="s">
        <v>118</v>
      </c>
      <c r="K38" s="15" t="s">
        <v>46</v>
      </c>
      <c r="L38" s="15">
        <f>IF(AND(I38="Yes",'Carry list'!$B$4&lt;&gt;"",ISNUMBER('Carry list'!$F$4),'Carry list'!$F$4&gt;=1,'Carry list'!$F$4&lt;=60,'Carry list'!$F$4=INT('Carry list'!$F$4),'Carry list'!$F$4&gt;=D38,OR(E38="All",ISNUMBER(SEARCH('Carry list'!$B$4,E38)))),1,0)</f>
        <v>0</v>
      </c>
      <c r="M38" s="15">
        <f t="shared" si="1"/>
        <v>0</v>
      </c>
      <c r="N38" s="15">
        <f t="shared" si="2"/>
        <v>0</v>
      </c>
      <c r="O38" s="15" t="str">
        <f t="shared" si="3"/>
        <v/>
      </c>
      <c r="P38" s="15" t="s">
        <v>134</v>
      </c>
      <c r="Q38" s="15">
        <v>25.0</v>
      </c>
      <c r="R38" s="15" t="s">
        <v>135</v>
      </c>
      <c r="S38" s="15" t="s">
        <v>137</v>
      </c>
      <c r="T38" s="15" t="s">
        <v>48</v>
      </c>
    </row>
    <row r="39" ht="30.75" customHeight="1">
      <c r="A39" s="16" t="s">
        <v>139</v>
      </c>
      <c r="B39" s="16" t="s">
        <v>8</v>
      </c>
      <c r="C39" s="16" t="s">
        <v>134</v>
      </c>
      <c r="D39" s="16">
        <v>46.0</v>
      </c>
      <c r="E39" s="16" t="s">
        <v>135</v>
      </c>
      <c r="F39" s="16" t="s">
        <v>128</v>
      </c>
      <c r="G39" s="16" t="s">
        <v>136</v>
      </c>
      <c r="H39" s="16">
        <v>46.0</v>
      </c>
      <c r="I39" s="14" t="s">
        <v>130</v>
      </c>
      <c r="J39" s="16" t="s">
        <v>118</v>
      </c>
      <c r="K39" s="17" t="s">
        <v>46</v>
      </c>
      <c r="L39" s="17">
        <f>IF(AND(I39="Yes",'Carry list'!$B$4&lt;&gt;"",ISNUMBER('Carry list'!$F$4),'Carry list'!$F$4&gt;=1,'Carry list'!$F$4&lt;=60,'Carry list'!$F$4=INT('Carry list'!$F$4),'Carry list'!$F$4&gt;=D39,OR(E39="All",ISNUMBER(SEARCH('Carry list'!$B$4,E39)))),1,0)</f>
        <v>0</v>
      </c>
      <c r="M39" s="17">
        <f t="shared" si="1"/>
        <v>0</v>
      </c>
      <c r="N39" s="17">
        <f t="shared" si="2"/>
        <v>0</v>
      </c>
      <c r="O39" s="17" t="str">
        <f t="shared" si="3"/>
        <v/>
      </c>
      <c r="P39" s="17" t="s">
        <v>134</v>
      </c>
      <c r="Q39" s="17">
        <v>46.0</v>
      </c>
      <c r="R39" s="17" t="s">
        <v>135</v>
      </c>
      <c r="S39" s="17" t="s">
        <v>137</v>
      </c>
      <c r="T39" s="17" t="s">
        <v>48</v>
      </c>
    </row>
    <row r="40" ht="30.75" customHeight="1">
      <c r="A40" s="13" t="s">
        <v>140</v>
      </c>
      <c r="B40" s="13" t="s">
        <v>8</v>
      </c>
      <c r="C40" s="13" t="s">
        <v>141</v>
      </c>
      <c r="D40" s="13">
        <v>33.0</v>
      </c>
      <c r="E40" s="13" t="s">
        <v>142</v>
      </c>
      <c r="F40" s="13" t="s">
        <v>128</v>
      </c>
      <c r="G40" s="13" t="s">
        <v>143</v>
      </c>
      <c r="H40" s="13">
        <v>33.0</v>
      </c>
      <c r="I40" s="14" t="s">
        <v>130</v>
      </c>
      <c r="J40" s="13" t="s">
        <v>118</v>
      </c>
      <c r="K40" s="15" t="s">
        <v>46</v>
      </c>
      <c r="L40" s="15">
        <f>IF(AND(I40="Yes",'Carry list'!$B$4&lt;&gt;"",ISNUMBER('Carry list'!$F$4),'Carry list'!$F$4&gt;=1,'Carry list'!$F$4&lt;=60,'Carry list'!$F$4=INT('Carry list'!$F$4),'Carry list'!$F$4&gt;=D40,OR(E40="All",ISNUMBER(SEARCH('Carry list'!$B$4,E40)))),1,0)</f>
        <v>0</v>
      </c>
      <c r="M40" s="15">
        <f t="shared" si="1"/>
        <v>0</v>
      </c>
      <c r="N40" s="15">
        <f t="shared" si="2"/>
        <v>0</v>
      </c>
      <c r="O40" s="15" t="str">
        <f t="shared" si="3"/>
        <v/>
      </c>
      <c r="P40" s="15" t="s">
        <v>141</v>
      </c>
      <c r="Q40" s="15">
        <v>33.0</v>
      </c>
      <c r="R40" s="15" t="s">
        <v>142</v>
      </c>
      <c r="S40" s="15" t="s">
        <v>144</v>
      </c>
      <c r="T40" s="15" t="s">
        <v>48</v>
      </c>
    </row>
    <row r="41" ht="30.75" customHeight="1">
      <c r="A41" s="16" t="s">
        <v>145</v>
      </c>
      <c r="B41" s="16" t="s">
        <v>8</v>
      </c>
      <c r="C41" s="16" t="s">
        <v>141</v>
      </c>
      <c r="D41" s="16">
        <v>46.0</v>
      </c>
      <c r="E41" s="16" t="s">
        <v>142</v>
      </c>
      <c r="F41" s="16" t="s">
        <v>128</v>
      </c>
      <c r="G41" s="16" t="s">
        <v>143</v>
      </c>
      <c r="H41" s="16">
        <v>46.0</v>
      </c>
      <c r="I41" s="14" t="s">
        <v>130</v>
      </c>
      <c r="J41" s="16" t="s">
        <v>118</v>
      </c>
      <c r="K41" s="17" t="s">
        <v>46</v>
      </c>
      <c r="L41" s="17">
        <f>IF(AND(I41="Yes",'Carry list'!$B$4&lt;&gt;"",ISNUMBER('Carry list'!$F$4),'Carry list'!$F$4&gt;=1,'Carry list'!$F$4&lt;=60,'Carry list'!$F$4=INT('Carry list'!$F$4),'Carry list'!$F$4&gt;=D41,OR(E41="All",ISNUMBER(SEARCH('Carry list'!$B$4,E41)))),1,0)</f>
        <v>0</v>
      </c>
      <c r="M41" s="17">
        <f t="shared" si="1"/>
        <v>0</v>
      </c>
      <c r="N41" s="17">
        <f t="shared" si="2"/>
        <v>0</v>
      </c>
      <c r="O41" s="17" t="str">
        <f t="shared" si="3"/>
        <v/>
      </c>
      <c r="P41" s="17" t="s">
        <v>141</v>
      </c>
      <c r="Q41" s="17">
        <v>46.0</v>
      </c>
      <c r="R41" s="17" t="s">
        <v>142</v>
      </c>
      <c r="S41" s="17" t="s">
        <v>144</v>
      </c>
      <c r="T41" s="17" t="s">
        <v>48</v>
      </c>
    </row>
    <row r="42" ht="30.75" customHeight="1">
      <c r="A42" s="13" t="s">
        <v>146</v>
      </c>
      <c r="B42" s="13" t="s">
        <v>8</v>
      </c>
      <c r="C42" s="13" t="s">
        <v>147</v>
      </c>
      <c r="D42" s="13">
        <v>35.0</v>
      </c>
      <c r="E42" s="13" t="s">
        <v>41</v>
      </c>
      <c r="F42" s="13" t="s">
        <v>128</v>
      </c>
      <c r="G42" s="13" t="s">
        <v>148</v>
      </c>
      <c r="H42" s="13">
        <v>35.0</v>
      </c>
      <c r="I42" s="14" t="s">
        <v>130</v>
      </c>
      <c r="J42" s="13" t="s">
        <v>149</v>
      </c>
      <c r="K42" s="15" t="s">
        <v>46</v>
      </c>
      <c r="L42" s="15">
        <f>IF(AND(I42="Yes",'Carry list'!$B$4&lt;&gt;"",ISNUMBER('Carry list'!$F$4),'Carry list'!$F$4&gt;=1,'Carry list'!$F$4&lt;=60,'Carry list'!$F$4=INT('Carry list'!$F$4),'Carry list'!$F$4&gt;=D42,OR(E42="All",ISNUMBER(SEARCH('Carry list'!$B$4,E42)))),1,0)</f>
        <v>0</v>
      </c>
      <c r="M42" s="15">
        <f t="shared" si="1"/>
        <v>0</v>
      </c>
      <c r="N42" s="15">
        <f t="shared" si="2"/>
        <v>0</v>
      </c>
      <c r="O42" s="15" t="str">
        <f t="shared" si="3"/>
        <v/>
      </c>
      <c r="P42" s="15" t="s">
        <v>150</v>
      </c>
      <c r="Q42" s="15">
        <v>35.0</v>
      </c>
      <c r="R42" s="15" t="s">
        <v>41</v>
      </c>
      <c r="S42" s="15" t="s">
        <v>106</v>
      </c>
      <c r="T42" s="15" t="s">
        <v>48</v>
      </c>
    </row>
    <row r="43" ht="30.75" customHeight="1">
      <c r="A43" s="16" t="s">
        <v>151</v>
      </c>
      <c r="B43" s="16" t="s">
        <v>8</v>
      </c>
      <c r="C43" s="16" t="s">
        <v>147</v>
      </c>
      <c r="D43" s="16">
        <v>55.0</v>
      </c>
      <c r="E43" s="16" t="s">
        <v>41</v>
      </c>
      <c r="F43" s="16" t="s">
        <v>128</v>
      </c>
      <c r="G43" s="16" t="s">
        <v>148</v>
      </c>
      <c r="H43" s="16">
        <v>55.0</v>
      </c>
      <c r="I43" s="14" t="s">
        <v>130</v>
      </c>
      <c r="J43" s="16" t="s">
        <v>149</v>
      </c>
      <c r="K43" s="17" t="s">
        <v>46</v>
      </c>
      <c r="L43" s="17">
        <f>IF(AND(I43="Yes",'Carry list'!$B$4&lt;&gt;"",ISNUMBER('Carry list'!$F$4),'Carry list'!$F$4&gt;=1,'Carry list'!$F$4&lt;=60,'Carry list'!$F$4=INT('Carry list'!$F$4),'Carry list'!$F$4&gt;=D43,OR(E43="All",ISNUMBER(SEARCH('Carry list'!$B$4,E43)))),1,0)</f>
        <v>0</v>
      </c>
      <c r="M43" s="17">
        <f t="shared" si="1"/>
        <v>0</v>
      </c>
      <c r="N43" s="17">
        <f t="shared" si="2"/>
        <v>0</v>
      </c>
      <c r="O43" s="17" t="str">
        <f t="shared" si="3"/>
        <v/>
      </c>
      <c r="P43" s="17" t="s">
        <v>150</v>
      </c>
      <c r="Q43" s="17">
        <v>55.0</v>
      </c>
      <c r="R43" s="17" t="s">
        <v>41</v>
      </c>
      <c r="S43" s="17" t="s">
        <v>106</v>
      </c>
      <c r="T43" s="17" t="s">
        <v>48</v>
      </c>
    </row>
    <row r="44" ht="30.75" customHeight="1">
      <c r="A44" s="13" t="s">
        <v>152</v>
      </c>
      <c r="B44" s="13" t="s">
        <v>8</v>
      </c>
      <c r="C44" s="13" t="s">
        <v>153</v>
      </c>
      <c r="D44" s="13">
        <v>35.0</v>
      </c>
      <c r="E44" s="13" t="s">
        <v>41</v>
      </c>
      <c r="F44" s="13" t="s">
        <v>128</v>
      </c>
      <c r="G44" s="13" t="s">
        <v>154</v>
      </c>
      <c r="H44" s="13">
        <v>35.0</v>
      </c>
      <c r="I44" s="14" t="s">
        <v>130</v>
      </c>
      <c r="J44" s="13" t="s">
        <v>155</v>
      </c>
      <c r="K44" s="15" t="s">
        <v>156</v>
      </c>
      <c r="L44" s="15">
        <f>IF(AND(I44="Yes",'Carry list'!$B$4&lt;&gt;"",ISNUMBER('Carry list'!$F$4),'Carry list'!$F$4&gt;=1,'Carry list'!$F$4&lt;=60,'Carry list'!$F$4=INT('Carry list'!$F$4),'Carry list'!$F$4&gt;=D44,OR(E44="All",ISNUMBER(SEARCH('Carry list'!$B$4,E44)))),1,0)</f>
        <v>0</v>
      </c>
      <c r="M44" s="15">
        <f t="shared" si="1"/>
        <v>0</v>
      </c>
      <c r="N44" s="15">
        <f t="shared" si="2"/>
        <v>0</v>
      </c>
      <c r="O44" s="15" t="str">
        <f t="shared" si="3"/>
        <v/>
      </c>
      <c r="P44" s="15" t="s">
        <v>157</v>
      </c>
      <c r="Q44" s="15">
        <v>35.0</v>
      </c>
      <c r="R44" s="15" t="s">
        <v>41</v>
      </c>
      <c r="S44" s="15" t="s">
        <v>106</v>
      </c>
      <c r="T44" s="15" t="s">
        <v>48</v>
      </c>
    </row>
    <row r="45" ht="30.75" customHeight="1">
      <c r="A45" s="16" t="s">
        <v>158</v>
      </c>
      <c r="B45" s="16" t="s">
        <v>8</v>
      </c>
      <c r="C45" s="16" t="s">
        <v>159</v>
      </c>
      <c r="D45" s="16">
        <v>45.0</v>
      </c>
      <c r="E45" s="16" t="s">
        <v>160</v>
      </c>
      <c r="F45" s="16" t="s">
        <v>128</v>
      </c>
      <c r="G45" s="16" t="s">
        <v>161</v>
      </c>
      <c r="H45" s="16">
        <v>45.0</v>
      </c>
      <c r="I45" s="14" t="s">
        <v>130</v>
      </c>
      <c r="J45" s="16" t="s">
        <v>118</v>
      </c>
      <c r="K45" s="17" t="s">
        <v>46</v>
      </c>
      <c r="L45" s="17">
        <f>IF(AND(I45="Yes",'Carry list'!$B$4&lt;&gt;"",ISNUMBER('Carry list'!$F$4),'Carry list'!$F$4&gt;=1,'Carry list'!$F$4&lt;=60,'Carry list'!$F$4=INT('Carry list'!$F$4),'Carry list'!$F$4&gt;=D45,OR(E45="All",ISNUMBER(SEARCH('Carry list'!$B$4,E45)))),1,0)</f>
        <v>0</v>
      </c>
      <c r="M45" s="17">
        <f t="shared" si="1"/>
        <v>0</v>
      </c>
      <c r="N45" s="17">
        <f t="shared" si="2"/>
        <v>0</v>
      </c>
      <c r="O45" s="17" t="str">
        <f t="shared" si="3"/>
        <v/>
      </c>
      <c r="P45" s="17" t="s">
        <v>159</v>
      </c>
      <c r="Q45" s="17">
        <v>45.0</v>
      </c>
      <c r="R45" s="17" t="s">
        <v>160</v>
      </c>
      <c r="S45" s="17" t="s">
        <v>159</v>
      </c>
      <c r="T45" s="17" t="s">
        <v>162</v>
      </c>
    </row>
    <row r="46" ht="30.75" customHeight="1">
      <c r="A46" s="13" t="s">
        <v>163</v>
      </c>
      <c r="B46" s="13" t="s">
        <v>8</v>
      </c>
      <c r="C46" s="13" t="s">
        <v>164</v>
      </c>
      <c r="D46" s="13">
        <v>45.0</v>
      </c>
      <c r="E46" s="13" t="s">
        <v>165</v>
      </c>
      <c r="F46" s="13" t="s">
        <v>128</v>
      </c>
      <c r="G46" s="13" t="s">
        <v>166</v>
      </c>
      <c r="H46" s="13">
        <v>45.0</v>
      </c>
      <c r="I46" s="14" t="s">
        <v>130</v>
      </c>
      <c r="J46" s="13" t="s">
        <v>118</v>
      </c>
      <c r="K46" s="15" t="s">
        <v>46</v>
      </c>
      <c r="L46" s="15">
        <f>IF(AND(I46="Yes",'Carry list'!$B$4&lt;&gt;"",ISNUMBER('Carry list'!$F$4),'Carry list'!$F$4&gt;=1,'Carry list'!$F$4&lt;=60,'Carry list'!$F$4=INT('Carry list'!$F$4),'Carry list'!$F$4&gt;=D46,OR(E46="All",ISNUMBER(SEARCH('Carry list'!$B$4,E46)))),1,0)</f>
        <v>0</v>
      </c>
      <c r="M46" s="15">
        <f t="shared" si="1"/>
        <v>0</v>
      </c>
      <c r="N46" s="15">
        <f t="shared" si="2"/>
        <v>0</v>
      </c>
      <c r="O46" s="15" t="str">
        <f t="shared" si="3"/>
        <v/>
      </c>
      <c r="P46" s="15" t="s">
        <v>164</v>
      </c>
      <c r="Q46" s="15">
        <v>45.0</v>
      </c>
      <c r="R46" s="15" t="s">
        <v>165</v>
      </c>
      <c r="S46" s="15" t="s">
        <v>164</v>
      </c>
      <c r="T46" s="15" t="s">
        <v>162</v>
      </c>
    </row>
    <row r="47" ht="30.75" customHeight="1">
      <c r="A47" s="16" t="s">
        <v>167</v>
      </c>
      <c r="B47" s="16" t="s">
        <v>8</v>
      </c>
      <c r="C47" s="16" t="s">
        <v>168</v>
      </c>
      <c r="D47" s="16">
        <v>45.0</v>
      </c>
      <c r="E47" s="16" t="s">
        <v>41</v>
      </c>
      <c r="F47" s="16" t="s">
        <v>128</v>
      </c>
      <c r="G47" s="16" t="s">
        <v>169</v>
      </c>
      <c r="H47" s="16">
        <v>45.0</v>
      </c>
      <c r="I47" s="14" t="s">
        <v>130</v>
      </c>
      <c r="J47" s="16" t="s">
        <v>170</v>
      </c>
      <c r="K47" s="17" t="s">
        <v>171</v>
      </c>
      <c r="L47" s="17">
        <f>IF(AND(I47="Yes",'Carry list'!$B$4&lt;&gt;"",ISNUMBER('Carry list'!$F$4),'Carry list'!$F$4&gt;=1,'Carry list'!$F$4&lt;=60,'Carry list'!$F$4=INT('Carry list'!$F$4),'Carry list'!$F$4&gt;=D47,OR(E47="All",ISNUMBER(SEARCH('Carry list'!$B$4,E47)))),1,0)</f>
        <v>0</v>
      </c>
      <c r="M47" s="17">
        <f t="shared" si="1"/>
        <v>0</v>
      </c>
      <c r="N47" s="17">
        <f t="shared" si="2"/>
        <v>0</v>
      </c>
      <c r="O47" s="17" t="str">
        <f t="shared" si="3"/>
        <v/>
      </c>
      <c r="P47" s="17" t="s">
        <v>159</v>
      </c>
      <c r="Q47" s="17">
        <v>45.0</v>
      </c>
      <c r="R47" s="17" t="s">
        <v>160</v>
      </c>
      <c r="S47" s="17" t="s">
        <v>159</v>
      </c>
      <c r="T47" s="17" t="s">
        <v>162</v>
      </c>
    </row>
    <row r="48" ht="30.75" customHeight="1">
      <c r="A48" s="13" t="s">
        <v>172</v>
      </c>
      <c r="B48" s="13" t="s">
        <v>8</v>
      </c>
      <c r="C48" s="13" t="s">
        <v>173</v>
      </c>
      <c r="D48" s="13">
        <v>45.0</v>
      </c>
      <c r="E48" s="13" t="s">
        <v>56</v>
      </c>
      <c r="F48" s="13" t="s">
        <v>128</v>
      </c>
      <c r="G48" s="13" t="s">
        <v>174</v>
      </c>
      <c r="H48" s="13">
        <v>45.0</v>
      </c>
      <c r="I48" s="14" t="s">
        <v>130</v>
      </c>
      <c r="J48" s="13" t="s">
        <v>118</v>
      </c>
      <c r="K48" s="15" t="s">
        <v>46</v>
      </c>
      <c r="L48" s="15">
        <f>IF(AND(I48="Yes",'Carry list'!$B$4&lt;&gt;"",ISNUMBER('Carry list'!$F$4),'Carry list'!$F$4&gt;=1,'Carry list'!$F$4&lt;=60,'Carry list'!$F$4=INT('Carry list'!$F$4),'Carry list'!$F$4&gt;=D48,OR(E48="All",ISNUMBER(SEARCH('Carry list'!$B$4,E48)))),1,0)</f>
        <v>0</v>
      </c>
      <c r="M48" s="15">
        <f t="shared" si="1"/>
        <v>0</v>
      </c>
      <c r="N48" s="15">
        <f t="shared" si="2"/>
        <v>0</v>
      </c>
      <c r="O48" s="15" t="str">
        <f t="shared" si="3"/>
        <v/>
      </c>
      <c r="P48" s="15" t="s">
        <v>173</v>
      </c>
      <c r="Q48" s="15">
        <v>45.0</v>
      </c>
      <c r="R48" s="15" t="s">
        <v>56</v>
      </c>
      <c r="S48" s="15" t="s">
        <v>173</v>
      </c>
      <c r="T48" s="15" t="s">
        <v>162</v>
      </c>
    </row>
    <row r="49" ht="30.75" customHeight="1">
      <c r="A49" s="16" t="s">
        <v>175</v>
      </c>
      <c r="B49" s="16" t="s">
        <v>8</v>
      </c>
      <c r="C49" s="16" t="s">
        <v>176</v>
      </c>
      <c r="D49" s="16">
        <v>45.0</v>
      </c>
      <c r="E49" s="16" t="s">
        <v>41</v>
      </c>
      <c r="F49" s="16" t="s">
        <v>128</v>
      </c>
      <c r="G49" s="16" t="s">
        <v>177</v>
      </c>
      <c r="H49" s="16">
        <v>45.0</v>
      </c>
      <c r="I49" s="14" t="s">
        <v>130</v>
      </c>
      <c r="J49" s="16" t="s">
        <v>118</v>
      </c>
      <c r="K49" s="17" t="s">
        <v>46</v>
      </c>
      <c r="L49" s="17">
        <f>IF(AND(I49="Yes",'Carry list'!$B$4&lt;&gt;"",ISNUMBER('Carry list'!$F$4),'Carry list'!$F$4&gt;=1,'Carry list'!$F$4&lt;=60,'Carry list'!$F$4=INT('Carry list'!$F$4),'Carry list'!$F$4&gt;=D49,OR(E49="All",ISNUMBER(SEARCH('Carry list'!$B$4,E49)))),1,0)</f>
        <v>0</v>
      </c>
      <c r="M49" s="17">
        <f t="shared" si="1"/>
        <v>0</v>
      </c>
      <c r="N49" s="17">
        <f t="shared" si="2"/>
        <v>0</v>
      </c>
      <c r="O49" s="17" t="str">
        <f t="shared" si="3"/>
        <v/>
      </c>
      <c r="P49" s="17" t="s">
        <v>176</v>
      </c>
      <c r="Q49" s="17">
        <v>45.0</v>
      </c>
      <c r="R49" s="17" t="s">
        <v>41</v>
      </c>
      <c r="S49" s="17" t="s">
        <v>176</v>
      </c>
      <c r="T49" s="17" t="s">
        <v>162</v>
      </c>
    </row>
    <row r="50" ht="30.75" customHeight="1">
      <c r="A50" s="13" t="s">
        <v>178</v>
      </c>
      <c r="B50" s="13" t="s">
        <v>8</v>
      </c>
      <c r="C50" s="13" t="s">
        <v>179</v>
      </c>
      <c r="D50" s="13">
        <v>55.0</v>
      </c>
      <c r="E50" s="13" t="s">
        <v>41</v>
      </c>
      <c r="F50" s="13" t="s">
        <v>128</v>
      </c>
      <c r="G50" s="13" t="s">
        <v>180</v>
      </c>
      <c r="H50" s="13">
        <v>55.0</v>
      </c>
      <c r="I50" s="14" t="s">
        <v>130</v>
      </c>
      <c r="J50" s="13" t="s">
        <v>181</v>
      </c>
      <c r="K50" s="15" t="s">
        <v>182</v>
      </c>
      <c r="L50" s="15">
        <f>IF(AND(I50="Yes",'Carry list'!$B$4&lt;&gt;"",ISNUMBER('Carry list'!$F$4),'Carry list'!$F$4&gt;=1,'Carry list'!$F$4&lt;=60,'Carry list'!$F$4=INT('Carry list'!$F$4),'Carry list'!$F$4&gt;=D50,OR(E50="All",ISNUMBER(SEARCH('Carry list'!$B$4,E50)))),1,0)</f>
        <v>0</v>
      </c>
      <c r="M50" s="15">
        <f t="shared" si="1"/>
        <v>0</v>
      </c>
      <c r="N50" s="15">
        <f t="shared" si="2"/>
        <v>0</v>
      </c>
      <c r="O50" s="15" t="str">
        <f t="shared" si="3"/>
        <v/>
      </c>
      <c r="P50" s="15" t="s">
        <v>183</v>
      </c>
      <c r="Q50" s="15">
        <v>55.0</v>
      </c>
      <c r="R50" s="15" t="s">
        <v>184</v>
      </c>
      <c r="S50" s="15" t="s">
        <v>183</v>
      </c>
      <c r="T50" s="15" t="s">
        <v>162</v>
      </c>
    </row>
    <row r="51" ht="30.75" customHeight="1">
      <c r="A51" s="16" t="s">
        <v>185</v>
      </c>
      <c r="B51" s="16" t="s">
        <v>8</v>
      </c>
      <c r="C51" s="16" t="s">
        <v>186</v>
      </c>
      <c r="D51" s="16">
        <v>55.0</v>
      </c>
      <c r="E51" s="16" t="s">
        <v>41</v>
      </c>
      <c r="F51" s="16" t="s">
        <v>128</v>
      </c>
      <c r="G51" s="16" t="s">
        <v>187</v>
      </c>
      <c r="H51" s="16">
        <v>55.0</v>
      </c>
      <c r="I51" s="14" t="s">
        <v>130</v>
      </c>
      <c r="J51" s="16" t="s">
        <v>118</v>
      </c>
      <c r="K51" s="17" t="s">
        <v>46</v>
      </c>
      <c r="L51" s="17">
        <f>IF(AND(I51="Yes",'Carry list'!$B$4&lt;&gt;"",ISNUMBER('Carry list'!$F$4),'Carry list'!$F$4&gt;=1,'Carry list'!$F$4&lt;=60,'Carry list'!$F$4=INT('Carry list'!$F$4),'Carry list'!$F$4&gt;=D51,OR(E51="All",ISNUMBER(SEARCH('Carry list'!$B$4,E51)))),1,0)</f>
        <v>0</v>
      </c>
      <c r="M51" s="17">
        <f t="shared" si="1"/>
        <v>0</v>
      </c>
      <c r="N51" s="17">
        <f t="shared" si="2"/>
        <v>0</v>
      </c>
      <c r="O51" s="17" t="str">
        <f t="shared" si="3"/>
        <v/>
      </c>
      <c r="P51" s="17" t="s">
        <v>186</v>
      </c>
      <c r="Q51" s="17">
        <v>55.0</v>
      </c>
      <c r="R51" s="17" t="s">
        <v>41</v>
      </c>
      <c r="S51" s="17" t="s">
        <v>69</v>
      </c>
      <c r="T51" s="17" t="s">
        <v>162</v>
      </c>
    </row>
    <row r="52" ht="30.75" customHeight="1">
      <c r="A52" s="13" t="s">
        <v>188</v>
      </c>
      <c r="B52" s="13" t="s">
        <v>8</v>
      </c>
      <c r="C52" s="13" t="s">
        <v>189</v>
      </c>
      <c r="D52" s="13">
        <v>55.0</v>
      </c>
      <c r="E52" s="13" t="s">
        <v>41</v>
      </c>
      <c r="F52" s="13" t="s">
        <v>128</v>
      </c>
      <c r="G52" s="13" t="s">
        <v>190</v>
      </c>
      <c r="H52" s="13">
        <v>55.0</v>
      </c>
      <c r="I52" s="14" t="s">
        <v>130</v>
      </c>
      <c r="J52" s="13" t="s">
        <v>191</v>
      </c>
      <c r="K52" s="15" t="s">
        <v>192</v>
      </c>
      <c r="L52" s="15">
        <f>IF(AND(I52="Yes",'Carry list'!$B$4&lt;&gt;"",ISNUMBER('Carry list'!$F$4),'Carry list'!$F$4&gt;=1,'Carry list'!$F$4&lt;=60,'Carry list'!$F$4=INT('Carry list'!$F$4),'Carry list'!$F$4&gt;=D52,OR(E52="All",ISNUMBER(SEARCH('Carry list'!$B$4,E52)))),1,0)</f>
        <v>0</v>
      </c>
      <c r="M52" s="15">
        <f t="shared" si="1"/>
        <v>0</v>
      </c>
      <c r="N52" s="15">
        <f t="shared" si="2"/>
        <v>0</v>
      </c>
      <c r="O52" s="15" t="str">
        <f t="shared" si="3"/>
        <v/>
      </c>
      <c r="P52" s="15" t="s">
        <v>176</v>
      </c>
      <c r="Q52" s="15">
        <v>55.0</v>
      </c>
      <c r="R52" s="15" t="s">
        <v>41</v>
      </c>
      <c r="S52" s="15" t="s">
        <v>176</v>
      </c>
      <c r="T52" s="15" t="s">
        <v>162</v>
      </c>
    </row>
    <row r="53" ht="30.75" customHeight="1">
      <c r="A53" s="16" t="s">
        <v>193</v>
      </c>
      <c r="B53" s="16" t="s">
        <v>9</v>
      </c>
      <c r="C53" s="16" t="s">
        <v>141</v>
      </c>
      <c r="D53" s="16">
        <v>0.0</v>
      </c>
      <c r="E53" s="16" t="s">
        <v>41</v>
      </c>
      <c r="F53" s="16" t="s">
        <v>116</v>
      </c>
      <c r="G53" s="16" t="s">
        <v>194</v>
      </c>
      <c r="H53" s="16">
        <v>0.0</v>
      </c>
      <c r="I53" s="14" t="s">
        <v>44</v>
      </c>
      <c r="J53" s="16" t="s">
        <v>118</v>
      </c>
      <c r="K53" s="17" t="s">
        <v>46</v>
      </c>
      <c r="L53" s="17">
        <f>IF(AND(I53="Yes",'Carry list'!$B$4&lt;&gt;"",ISNUMBER('Carry list'!$F$4),'Carry list'!$F$4&gt;=1,'Carry list'!$F$4&lt;=60,'Carry list'!$F$4=INT('Carry list'!$F$4),'Carry list'!$F$4&gt;=D53,OR(E53="All",ISNUMBER(SEARCH('Carry list'!$B$4,E53)))),1,0)</f>
        <v>1</v>
      </c>
      <c r="M53" s="17">
        <f t="shared" si="1"/>
        <v>1</v>
      </c>
      <c r="N53" s="17">
        <f t="shared" si="2"/>
        <v>0</v>
      </c>
      <c r="O53" s="17" t="str">
        <f t="shared" si="3"/>
        <v/>
      </c>
      <c r="P53" s="17" t="s">
        <v>141</v>
      </c>
      <c r="Q53" s="17">
        <v>0.0</v>
      </c>
      <c r="R53" s="17" t="s">
        <v>142</v>
      </c>
      <c r="S53" s="17" t="s">
        <v>144</v>
      </c>
      <c r="T53" s="17" t="s">
        <v>195</v>
      </c>
    </row>
    <row r="54" ht="30.75" customHeight="1">
      <c r="A54" s="13" t="s">
        <v>196</v>
      </c>
      <c r="B54" s="13" t="s">
        <v>9</v>
      </c>
      <c r="C54" s="13" t="s">
        <v>141</v>
      </c>
      <c r="D54" s="13">
        <v>16.0</v>
      </c>
      <c r="E54" s="13" t="s">
        <v>41</v>
      </c>
      <c r="F54" s="13" t="s">
        <v>116</v>
      </c>
      <c r="G54" s="13" t="s">
        <v>194</v>
      </c>
      <c r="H54" s="13">
        <v>16.0</v>
      </c>
      <c r="I54" s="14" t="s">
        <v>44</v>
      </c>
      <c r="J54" s="13" t="s">
        <v>118</v>
      </c>
      <c r="K54" s="15" t="s">
        <v>46</v>
      </c>
      <c r="L54" s="15">
        <f>IF(AND(I54="Yes",'Carry list'!$B$4&lt;&gt;"",ISNUMBER('Carry list'!$F$4),'Carry list'!$F$4&gt;=1,'Carry list'!$F$4&lt;=60,'Carry list'!$F$4=INT('Carry list'!$F$4),'Carry list'!$F$4&gt;=D54,OR(E54="All",ISNUMBER(SEARCH('Carry list'!$B$4,E54)))),1,0)</f>
        <v>1</v>
      </c>
      <c r="M54" s="15">
        <f t="shared" si="1"/>
        <v>0</v>
      </c>
      <c r="N54" s="15">
        <f t="shared" si="2"/>
        <v>1</v>
      </c>
      <c r="O54" s="15" t="str">
        <f t="shared" si="3"/>
        <v>Elixirs1</v>
      </c>
      <c r="P54" s="15" t="s">
        <v>141</v>
      </c>
      <c r="Q54" s="15">
        <v>16.0</v>
      </c>
      <c r="R54" s="15" t="s">
        <v>142</v>
      </c>
      <c r="S54" s="15" t="s">
        <v>144</v>
      </c>
      <c r="T54" s="15" t="s">
        <v>195</v>
      </c>
    </row>
    <row r="55" ht="30.75" customHeight="1">
      <c r="A55" s="16" t="s">
        <v>197</v>
      </c>
      <c r="B55" s="16" t="s">
        <v>9</v>
      </c>
      <c r="C55" s="16" t="s">
        <v>141</v>
      </c>
      <c r="D55" s="16">
        <v>29.0</v>
      </c>
      <c r="E55" s="16" t="s">
        <v>41</v>
      </c>
      <c r="F55" s="16" t="s">
        <v>116</v>
      </c>
      <c r="G55" s="16" t="s">
        <v>194</v>
      </c>
      <c r="H55" s="16">
        <v>29.0</v>
      </c>
      <c r="I55" s="14" t="s">
        <v>44</v>
      </c>
      <c r="J55" s="16" t="s">
        <v>118</v>
      </c>
      <c r="K55" s="17" t="s">
        <v>46</v>
      </c>
      <c r="L55" s="17">
        <f>IF(AND(I55="Yes",'Carry list'!$B$4&lt;&gt;"",ISNUMBER('Carry list'!$F$4),'Carry list'!$F$4&gt;=1,'Carry list'!$F$4&lt;=60,'Carry list'!$F$4=INT('Carry list'!$F$4),'Carry list'!$F$4&gt;=D55,OR(E55="All",ISNUMBER(SEARCH('Carry list'!$B$4,E55)))),1,0)</f>
        <v>0</v>
      </c>
      <c r="M55" s="17">
        <f t="shared" si="1"/>
        <v>0</v>
      </c>
      <c r="N55" s="17">
        <f t="shared" si="2"/>
        <v>0</v>
      </c>
      <c r="O55" s="17" t="str">
        <f t="shared" si="3"/>
        <v/>
      </c>
      <c r="P55" s="17" t="s">
        <v>141</v>
      </c>
      <c r="Q55" s="17">
        <v>29.0</v>
      </c>
      <c r="R55" s="17" t="s">
        <v>142</v>
      </c>
      <c r="S55" s="17" t="s">
        <v>144</v>
      </c>
      <c r="T55" s="17" t="s">
        <v>195</v>
      </c>
    </row>
    <row r="56" ht="30.75" customHeight="1">
      <c r="A56" s="13" t="s">
        <v>198</v>
      </c>
      <c r="B56" s="13" t="s">
        <v>9</v>
      </c>
      <c r="C56" s="13" t="s">
        <v>141</v>
      </c>
      <c r="D56" s="13">
        <v>43.0</v>
      </c>
      <c r="E56" s="13" t="s">
        <v>41</v>
      </c>
      <c r="F56" s="13" t="s">
        <v>116</v>
      </c>
      <c r="G56" s="13" t="s">
        <v>194</v>
      </c>
      <c r="H56" s="13">
        <v>43.0</v>
      </c>
      <c r="I56" s="14" t="s">
        <v>44</v>
      </c>
      <c r="J56" s="13" t="s">
        <v>118</v>
      </c>
      <c r="K56" s="15" t="s">
        <v>46</v>
      </c>
      <c r="L56" s="15">
        <f>IF(AND(I56="Yes",'Carry list'!$B$4&lt;&gt;"",ISNUMBER('Carry list'!$F$4),'Carry list'!$F$4&gt;=1,'Carry list'!$F$4&lt;=60,'Carry list'!$F$4=INT('Carry list'!$F$4),'Carry list'!$F$4&gt;=D56,OR(E56="All",ISNUMBER(SEARCH('Carry list'!$B$4,E56)))),1,0)</f>
        <v>0</v>
      </c>
      <c r="M56" s="15">
        <f t="shared" si="1"/>
        <v>0</v>
      </c>
      <c r="N56" s="15">
        <f t="shared" si="2"/>
        <v>0</v>
      </c>
      <c r="O56" s="15" t="str">
        <f t="shared" si="3"/>
        <v/>
      </c>
      <c r="P56" s="15" t="s">
        <v>141</v>
      </c>
      <c r="Q56" s="15">
        <v>43.0</v>
      </c>
      <c r="R56" s="15" t="s">
        <v>142</v>
      </c>
      <c r="S56" s="15" t="s">
        <v>144</v>
      </c>
      <c r="T56" s="15" t="s">
        <v>195</v>
      </c>
    </row>
    <row r="57" ht="30.75" customHeight="1">
      <c r="A57" s="16" t="s">
        <v>199</v>
      </c>
      <c r="B57" s="16" t="s">
        <v>9</v>
      </c>
      <c r="C57" s="16" t="s">
        <v>200</v>
      </c>
      <c r="D57" s="16">
        <v>2.0</v>
      </c>
      <c r="E57" s="16" t="s">
        <v>41</v>
      </c>
      <c r="F57" s="16" t="s">
        <v>116</v>
      </c>
      <c r="G57" s="16" t="s">
        <v>201</v>
      </c>
      <c r="H57" s="16">
        <v>2.0</v>
      </c>
      <c r="I57" s="14" t="s">
        <v>44</v>
      </c>
      <c r="J57" s="16" t="s">
        <v>118</v>
      </c>
      <c r="K57" s="17" t="s">
        <v>46</v>
      </c>
      <c r="L57" s="17">
        <f>IF(AND(I57="Yes",'Carry list'!$B$4&lt;&gt;"",ISNUMBER('Carry list'!$F$4),'Carry list'!$F$4&gt;=1,'Carry list'!$F$4&lt;=60,'Carry list'!$F$4=INT('Carry list'!$F$4),'Carry list'!$F$4&gt;=D57,OR(E57="All",ISNUMBER(SEARCH('Carry list'!$B$4,E57)))),1,0)</f>
        <v>1</v>
      </c>
      <c r="M57" s="17">
        <f t="shared" si="1"/>
        <v>0</v>
      </c>
      <c r="N57" s="17">
        <f t="shared" si="2"/>
        <v>1</v>
      </c>
      <c r="O57" s="17" t="str">
        <f t="shared" si="3"/>
        <v>Elixirs2</v>
      </c>
      <c r="P57" s="17" t="s">
        <v>176</v>
      </c>
      <c r="Q57" s="17">
        <v>2.0</v>
      </c>
      <c r="R57" s="17" t="s">
        <v>41</v>
      </c>
      <c r="S57" s="17" t="s">
        <v>202</v>
      </c>
      <c r="T57" s="17" t="s">
        <v>195</v>
      </c>
    </row>
    <row r="58" ht="30.75" customHeight="1">
      <c r="A58" s="13" t="s">
        <v>203</v>
      </c>
      <c r="B58" s="13" t="s">
        <v>9</v>
      </c>
      <c r="C58" s="13" t="s">
        <v>200</v>
      </c>
      <c r="D58" s="13">
        <v>25.0</v>
      </c>
      <c r="E58" s="13" t="s">
        <v>41</v>
      </c>
      <c r="F58" s="13" t="s">
        <v>116</v>
      </c>
      <c r="G58" s="13" t="s">
        <v>201</v>
      </c>
      <c r="H58" s="13">
        <v>25.0</v>
      </c>
      <c r="I58" s="14" t="s">
        <v>44</v>
      </c>
      <c r="J58" s="13" t="s">
        <v>204</v>
      </c>
      <c r="K58" s="15" t="s">
        <v>205</v>
      </c>
      <c r="L58" s="15">
        <f>IF(AND(I58="Yes",'Carry list'!$B$4&lt;&gt;"",ISNUMBER('Carry list'!$F$4),'Carry list'!$F$4&gt;=1,'Carry list'!$F$4&lt;=60,'Carry list'!$F$4=INT('Carry list'!$F$4),'Carry list'!$F$4&gt;=D58,OR(E58="All",ISNUMBER(SEARCH('Carry list'!$B$4,E58)))),1,0)</f>
        <v>0</v>
      </c>
      <c r="M58" s="15">
        <f t="shared" si="1"/>
        <v>0</v>
      </c>
      <c r="N58" s="15">
        <f t="shared" si="2"/>
        <v>0</v>
      </c>
      <c r="O58" s="15" t="str">
        <f t="shared" si="3"/>
        <v/>
      </c>
      <c r="P58" s="15" t="s">
        <v>176</v>
      </c>
      <c r="Q58" s="15">
        <v>25.0</v>
      </c>
      <c r="R58" s="15" t="s">
        <v>41</v>
      </c>
      <c r="S58" s="15" t="s">
        <v>202</v>
      </c>
      <c r="T58" s="15" t="s">
        <v>195</v>
      </c>
    </row>
    <row r="59" ht="30.75" customHeight="1">
      <c r="A59" s="16" t="s">
        <v>206</v>
      </c>
      <c r="B59" s="16" t="s">
        <v>9</v>
      </c>
      <c r="C59" s="16" t="s">
        <v>164</v>
      </c>
      <c r="D59" s="16">
        <v>2.0</v>
      </c>
      <c r="E59" s="16" t="s">
        <v>165</v>
      </c>
      <c r="F59" s="16" t="s">
        <v>116</v>
      </c>
      <c r="G59" s="16" t="s">
        <v>207</v>
      </c>
      <c r="H59" s="16">
        <v>2.0</v>
      </c>
      <c r="I59" s="14" t="s">
        <v>44</v>
      </c>
      <c r="J59" s="16" t="s">
        <v>118</v>
      </c>
      <c r="K59" s="17" t="s">
        <v>46</v>
      </c>
      <c r="L59" s="17">
        <f>IF(AND(I59="Yes",'Carry list'!$B$4&lt;&gt;"",ISNUMBER('Carry list'!$F$4),'Carry list'!$F$4&gt;=1,'Carry list'!$F$4&lt;=60,'Carry list'!$F$4=INT('Carry list'!$F$4),'Carry list'!$F$4&gt;=D59,OR(E59="All",ISNUMBER(SEARCH('Carry list'!$B$4,E59)))),1,0)</f>
        <v>1</v>
      </c>
      <c r="M59" s="17">
        <f t="shared" si="1"/>
        <v>1</v>
      </c>
      <c r="N59" s="17">
        <f t="shared" si="2"/>
        <v>0</v>
      </c>
      <c r="O59" s="17" t="str">
        <f t="shared" si="3"/>
        <v/>
      </c>
      <c r="P59" s="17" t="s">
        <v>164</v>
      </c>
      <c r="Q59" s="17">
        <v>2.0</v>
      </c>
      <c r="R59" s="17" t="s">
        <v>165</v>
      </c>
      <c r="S59" s="17" t="s">
        <v>164</v>
      </c>
      <c r="T59" s="17" t="s">
        <v>195</v>
      </c>
    </row>
    <row r="60" ht="30.75" customHeight="1">
      <c r="A60" s="13" t="s">
        <v>208</v>
      </c>
      <c r="B60" s="13" t="s">
        <v>9</v>
      </c>
      <c r="C60" s="13" t="s">
        <v>164</v>
      </c>
      <c r="D60" s="13">
        <v>18.0</v>
      </c>
      <c r="E60" s="13" t="s">
        <v>165</v>
      </c>
      <c r="F60" s="13" t="s">
        <v>116</v>
      </c>
      <c r="G60" s="13" t="s">
        <v>207</v>
      </c>
      <c r="H60" s="13">
        <v>18.0</v>
      </c>
      <c r="I60" s="14" t="s">
        <v>44</v>
      </c>
      <c r="J60" s="13" t="s">
        <v>118</v>
      </c>
      <c r="K60" s="15" t="s">
        <v>46</v>
      </c>
      <c r="L60" s="15">
        <f>IF(AND(I60="Yes",'Carry list'!$B$4&lt;&gt;"",ISNUMBER('Carry list'!$F$4),'Carry list'!$F$4&gt;=1,'Carry list'!$F$4&lt;=60,'Carry list'!$F$4=INT('Carry list'!$F$4),'Carry list'!$F$4&gt;=D60,OR(E60="All",ISNUMBER(SEARCH('Carry list'!$B$4,E60)))),1,0)</f>
        <v>1</v>
      </c>
      <c r="M60" s="15">
        <f t="shared" si="1"/>
        <v>0</v>
      </c>
      <c r="N60" s="15">
        <f t="shared" si="2"/>
        <v>1</v>
      </c>
      <c r="O60" s="15" t="str">
        <f t="shared" si="3"/>
        <v>Elixirs3</v>
      </c>
      <c r="P60" s="15" t="s">
        <v>164</v>
      </c>
      <c r="Q60" s="15">
        <v>18.0</v>
      </c>
      <c r="R60" s="15" t="s">
        <v>165</v>
      </c>
      <c r="S60" s="15" t="s">
        <v>164</v>
      </c>
      <c r="T60" s="15" t="s">
        <v>195</v>
      </c>
    </row>
    <row r="61" ht="30.75" customHeight="1">
      <c r="A61" s="16" t="s">
        <v>209</v>
      </c>
      <c r="B61" s="16" t="s">
        <v>9</v>
      </c>
      <c r="C61" s="16" t="s">
        <v>164</v>
      </c>
      <c r="D61" s="16">
        <v>27.0</v>
      </c>
      <c r="E61" s="16" t="s">
        <v>165</v>
      </c>
      <c r="F61" s="16" t="s">
        <v>116</v>
      </c>
      <c r="G61" s="16" t="s">
        <v>207</v>
      </c>
      <c r="H61" s="16">
        <v>27.0</v>
      </c>
      <c r="I61" s="14" t="s">
        <v>44</v>
      </c>
      <c r="J61" s="16" t="s">
        <v>118</v>
      </c>
      <c r="K61" s="17" t="s">
        <v>46</v>
      </c>
      <c r="L61" s="17">
        <f>IF(AND(I61="Yes",'Carry list'!$B$4&lt;&gt;"",ISNUMBER('Carry list'!$F$4),'Carry list'!$F$4&gt;=1,'Carry list'!$F$4&lt;=60,'Carry list'!$F$4=INT('Carry list'!$F$4),'Carry list'!$F$4&gt;=D61,OR(E61="All",ISNUMBER(SEARCH('Carry list'!$B$4,E61)))),1,0)</f>
        <v>0</v>
      </c>
      <c r="M61" s="17">
        <f t="shared" si="1"/>
        <v>0</v>
      </c>
      <c r="N61" s="17">
        <f t="shared" si="2"/>
        <v>0</v>
      </c>
      <c r="O61" s="17" t="str">
        <f t="shared" si="3"/>
        <v/>
      </c>
      <c r="P61" s="17" t="s">
        <v>164</v>
      </c>
      <c r="Q61" s="17">
        <v>27.0</v>
      </c>
      <c r="R61" s="17" t="s">
        <v>165</v>
      </c>
      <c r="S61" s="17" t="s">
        <v>164</v>
      </c>
      <c r="T61" s="17" t="s">
        <v>195</v>
      </c>
    </row>
    <row r="62" ht="30.75" customHeight="1">
      <c r="A62" s="13" t="s">
        <v>210</v>
      </c>
      <c r="B62" s="13" t="s">
        <v>9</v>
      </c>
      <c r="C62" s="13" t="s">
        <v>164</v>
      </c>
      <c r="D62" s="13">
        <v>38.0</v>
      </c>
      <c r="E62" s="13" t="s">
        <v>165</v>
      </c>
      <c r="F62" s="13" t="s">
        <v>116</v>
      </c>
      <c r="G62" s="13" t="s">
        <v>207</v>
      </c>
      <c r="H62" s="13">
        <v>38.0</v>
      </c>
      <c r="I62" s="14" t="s">
        <v>44</v>
      </c>
      <c r="J62" s="13" t="s">
        <v>118</v>
      </c>
      <c r="K62" s="15" t="s">
        <v>46</v>
      </c>
      <c r="L62" s="15">
        <f>IF(AND(I62="Yes",'Carry list'!$B$4&lt;&gt;"",ISNUMBER('Carry list'!$F$4),'Carry list'!$F$4&gt;=1,'Carry list'!$F$4&lt;=60,'Carry list'!$F$4=INT('Carry list'!$F$4),'Carry list'!$F$4&gt;=D62,OR(E62="All",ISNUMBER(SEARCH('Carry list'!$B$4,E62)))),1,0)</f>
        <v>0</v>
      </c>
      <c r="M62" s="15">
        <f t="shared" si="1"/>
        <v>0</v>
      </c>
      <c r="N62" s="15">
        <f t="shared" si="2"/>
        <v>0</v>
      </c>
      <c r="O62" s="15" t="str">
        <f t="shared" si="3"/>
        <v/>
      </c>
      <c r="P62" s="15" t="s">
        <v>164</v>
      </c>
      <c r="Q62" s="15">
        <v>38.0</v>
      </c>
      <c r="R62" s="15" t="s">
        <v>165</v>
      </c>
      <c r="S62" s="15" t="s">
        <v>164</v>
      </c>
      <c r="T62" s="15" t="s">
        <v>195</v>
      </c>
    </row>
    <row r="63" ht="30.75" customHeight="1">
      <c r="A63" s="16" t="s">
        <v>211</v>
      </c>
      <c r="B63" s="16" t="s">
        <v>9</v>
      </c>
      <c r="C63" s="16" t="s">
        <v>159</v>
      </c>
      <c r="D63" s="16">
        <v>3.0</v>
      </c>
      <c r="E63" s="16" t="s">
        <v>160</v>
      </c>
      <c r="F63" s="16" t="s">
        <v>116</v>
      </c>
      <c r="G63" s="16" t="s">
        <v>212</v>
      </c>
      <c r="H63" s="16">
        <v>3.0</v>
      </c>
      <c r="I63" s="14" t="s">
        <v>44</v>
      </c>
      <c r="J63" s="16" t="s">
        <v>118</v>
      </c>
      <c r="K63" s="17" t="s">
        <v>46</v>
      </c>
      <c r="L63" s="17">
        <f>IF(AND(I63="Yes",'Carry list'!$B$4&lt;&gt;"",ISNUMBER('Carry list'!$F$4),'Carry list'!$F$4&gt;=1,'Carry list'!$F$4&lt;=60,'Carry list'!$F$4=INT('Carry list'!$F$4),'Carry list'!$F$4&gt;=D63,OR(E63="All",ISNUMBER(SEARCH('Carry list'!$B$4,E63)))),1,0)</f>
        <v>0</v>
      </c>
      <c r="M63" s="17">
        <f t="shared" si="1"/>
        <v>0</v>
      </c>
      <c r="N63" s="17">
        <f t="shared" si="2"/>
        <v>0</v>
      </c>
      <c r="O63" s="17" t="str">
        <f t="shared" si="3"/>
        <v/>
      </c>
      <c r="P63" s="17" t="s">
        <v>159</v>
      </c>
      <c r="Q63" s="17">
        <v>3.0</v>
      </c>
      <c r="R63" s="17" t="s">
        <v>160</v>
      </c>
      <c r="S63" s="17" t="s">
        <v>159</v>
      </c>
      <c r="T63" s="17" t="s">
        <v>195</v>
      </c>
    </row>
    <row r="64" ht="30.75" customHeight="1">
      <c r="A64" s="13" t="s">
        <v>213</v>
      </c>
      <c r="B64" s="13" t="s">
        <v>9</v>
      </c>
      <c r="C64" s="13" t="s">
        <v>159</v>
      </c>
      <c r="D64" s="13">
        <v>20.0</v>
      </c>
      <c r="E64" s="13" t="s">
        <v>160</v>
      </c>
      <c r="F64" s="13" t="s">
        <v>116</v>
      </c>
      <c r="G64" s="13" t="s">
        <v>212</v>
      </c>
      <c r="H64" s="13">
        <v>20.0</v>
      </c>
      <c r="I64" s="14" t="s">
        <v>44</v>
      </c>
      <c r="J64" s="13" t="s">
        <v>118</v>
      </c>
      <c r="K64" s="15" t="s">
        <v>46</v>
      </c>
      <c r="L64" s="15">
        <f>IF(AND(I64="Yes",'Carry list'!$B$4&lt;&gt;"",ISNUMBER('Carry list'!$F$4),'Carry list'!$F$4&gt;=1,'Carry list'!$F$4&lt;=60,'Carry list'!$F$4=INT('Carry list'!$F$4),'Carry list'!$F$4&gt;=D64,OR(E64="All",ISNUMBER(SEARCH('Carry list'!$B$4,E64)))),1,0)</f>
        <v>0</v>
      </c>
      <c r="M64" s="15">
        <f t="shared" si="1"/>
        <v>0</v>
      </c>
      <c r="N64" s="15">
        <f t="shared" si="2"/>
        <v>0</v>
      </c>
      <c r="O64" s="15" t="str">
        <f t="shared" si="3"/>
        <v/>
      </c>
      <c r="P64" s="15" t="s">
        <v>159</v>
      </c>
      <c r="Q64" s="15">
        <v>20.0</v>
      </c>
      <c r="R64" s="15" t="s">
        <v>160</v>
      </c>
      <c r="S64" s="15" t="s">
        <v>159</v>
      </c>
      <c r="T64" s="15" t="s">
        <v>195</v>
      </c>
    </row>
    <row r="65" ht="30.75" customHeight="1">
      <c r="A65" s="16" t="s">
        <v>214</v>
      </c>
      <c r="B65" s="16" t="s">
        <v>9</v>
      </c>
      <c r="C65" s="16" t="s">
        <v>159</v>
      </c>
      <c r="D65" s="16">
        <v>38.0</v>
      </c>
      <c r="E65" s="16" t="s">
        <v>160</v>
      </c>
      <c r="F65" s="16" t="s">
        <v>116</v>
      </c>
      <c r="G65" s="16" t="s">
        <v>212</v>
      </c>
      <c r="H65" s="16">
        <v>38.0</v>
      </c>
      <c r="I65" s="14" t="s">
        <v>44</v>
      </c>
      <c r="J65" s="16" t="s">
        <v>118</v>
      </c>
      <c r="K65" s="17" t="s">
        <v>46</v>
      </c>
      <c r="L65" s="17">
        <f>IF(AND(I65="Yes",'Carry list'!$B$4&lt;&gt;"",ISNUMBER('Carry list'!$F$4),'Carry list'!$F$4&gt;=1,'Carry list'!$F$4&lt;=60,'Carry list'!$F$4=INT('Carry list'!$F$4),'Carry list'!$F$4&gt;=D65,OR(E65="All",ISNUMBER(SEARCH('Carry list'!$B$4,E65)))),1,0)</f>
        <v>0</v>
      </c>
      <c r="M65" s="17">
        <f t="shared" si="1"/>
        <v>0</v>
      </c>
      <c r="N65" s="17">
        <f t="shared" si="2"/>
        <v>0</v>
      </c>
      <c r="O65" s="17" t="str">
        <f t="shared" si="3"/>
        <v/>
      </c>
      <c r="P65" s="17" t="s">
        <v>159</v>
      </c>
      <c r="Q65" s="17">
        <v>38.0</v>
      </c>
      <c r="R65" s="17" t="s">
        <v>160</v>
      </c>
      <c r="S65" s="17" t="s">
        <v>159</v>
      </c>
      <c r="T65" s="17" t="s">
        <v>195</v>
      </c>
    </row>
    <row r="66" ht="30.75" customHeight="1">
      <c r="A66" s="13" t="s">
        <v>215</v>
      </c>
      <c r="B66" s="13" t="s">
        <v>9</v>
      </c>
      <c r="C66" s="13" t="s">
        <v>216</v>
      </c>
      <c r="D66" s="13">
        <v>45.0</v>
      </c>
      <c r="E66" s="13" t="s">
        <v>160</v>
      </c>
      <c r="F66" s="13" t="s">
        <v>116</v>
      </c>
      <c r="G66" s="13" t="s">
        <v>217</v>
      </c>
      <c r="H66" s="13">
        <v>45.0</v>
      </c>
      <c r="I66" s="14" t="s">
        <v>44</v>
      </c>
      <c r="J66" s="13" t="s">
        <v>218</v>
      </c>
      <c r="K66" s="15" t="s">
        <v>219</v>
      </c>
      <c r="L66" s="15">
        <f>IF(AND(I66="Yes",'Carry list'!$B$4&lt;&gt;"",ISNUMBER('Carry list'!$F$4),'Carry list'!$F$4&gt;=1,'Carry list'!$F$4&lt;=60,'Carry list'!$F$4=INT('Carry list'!$F$4),'Carry list'!$F$4&gt;=D66,OR(E66="All",ISNUMBER(SEARCH('Carry list'!$B$4,E66)))),1,0)</f>
        <v>0</v>
      </c>
      <c r="M66" s="15">
        <f t="shared" si="1"/>
        <v>0</v>
      </c>
      <c r="N66" s="15">
        <f t="shared" si="2"/>
        <v>0</v>
      </c>
      <c r="O66" s="15" t="str">
        <f t="shared" si="3"/>
        <v/>
      </c>
      <c r="P66" s="15" t="s">
        <v>159</v>
      </c>
      <c r="Q66" s="15">
        <v>45.0</v>
      </c>
      <c r="R66" s="15" t="s">
        <v>160</v>
      </c>
      <c r="S66" s="15" t="s">
        <v>159</v>
      </c>
      <c r="T66" s="15" t="s">
        <v>195</v>
      </c>
    </row>
    <row r="67" ht="30.75" customHeight="1">
      <c r="A67" s="16" t="s">
        <v>220</v>
      </c>
      <c r="B67" s="16" t="s">
        <v>9</v>
      </c>
      <c r="C67" s="16" t="s">
        <v>173</v>
      </c>
      <c r="D67" s="16">
        <v>10.0</v>
      </c>
      <c r="E67" s="16" t="s">
        <v>56</v>
      </c>
      <c r="F67" s="16" t="s">
        <v>116</v>
      </c>
      <c r="G67" s="16" t="s">
        <v>221</v>
      </c>
      <c r="H67" s="16">
        <v>10.0</v>
      </c>
      <c r="I67" s="14" t="s">
        <v>44</v>
      </c>
      <c r="J67" s="16" t="s">
        <v>118</v>
      </c>
      <c r="K67" s="17" t="s">
        <v>46</v>
      </c>
      <c r="L67" s="17">
        <f>IF(AND(I67="Yes",'Carry list'!$B$4&lt;&gt;"",ISNUMBER('Carry list'!$F$4),'Carry list'!$F$4&gt;=1,'Carry list'!$F$4&lt;=60,'Carry list'!$F$4=INT('Carry list'!$F$4),'Carry list'!$F$4&gt;=D67,OR(E67="All",ISNUMBER(SEARCH('Carry list'!$B$4,E67)))),1,0)</f>
        <v>1</v>
      </c>
      <c r="M67" s="17">
        <f t="shared" si="1"/>
        <v>0</v>
      </c>
      <c r="N67" s="17">
        <f t="shared" si="2"/>
        <v>1</v>
      </c>
      <c r="O67" s="17" t="str">
        <f t="shared" si="3"/>
        <v>Elixirs4</v>
      </c>
      <c r="P67" s="17" t="s">
        <v>173</v>
      </c>
      <c r="Q67" s="17">
        <v>10.0</v>
      </c>
      <c r="R67" s="17" t="s">
        <v>56</v>
      </c>
      <c r="S67" s="17" t="s">
        <v>173</v>
      </c>
      <c r="T67" s="17" t="s">
        <v>195</v>
      </c>
    </row>
    <row r="68" ht="30.75" customHeight="1">
      <c r="A68" s="13" t="s">
        <v>222</v>
      </c>
      <c r="B68" s="13" t="s">
        <v>9</v>
      </c>
      <c r="C68" s="13" t="s">
        <v>173</v>
      </c>
      <c r="D68" s="13">
        <v>37.0</v>
      </c>
      <c r="E68" s="13" t="s">
        <v>56</v>
      </c>
      <c r="F68" s="13" t="s">
        <v>116</v>
      </c>
      <c r="G68" s="13" t="s">
        <v>221</v>
      </c>
      <c r="H68" s="13">
        <v>37.0</v>
      </c>
      <c r="I68" s="14" t="s">
        <v>44</v>
      </c>
      <c r="J68" s="13" t="s">
        <v>118</v>
      </c>
      <c r="K68" s="15" t="s">
        <v>46</v>
      </c>
      <c r="L68" s="15">
        <f>IF(AND(I68="Yes",'Carry list'!$B$4&lt;&gt;"",ISNUMBER('Carry list'!$F$4),'Carry list'!$F$4&gt;=1,'Carry list'!$F$4&lt;=60,'Carry list'!$F$4=INT('Carry list'!$F$4),'Carry list'!$F$4&gt;=D68,OR(E68="All",ISNUMBER(SEARCH('Carry list'!$B$4,E68)))),1,0)</f>
        <v>0</v>
      </c>
      <c r="M68" s="15">
        <f t="shared" si="1"/>
        <v>0</v>
      </c>
      <c r="N68" s="15">
        <f t="shared" si="2"/>
        <v>0</v>
      </c>
      <c r="O68" s="15" t="str">
        <f t="shared" si="3"/>
        <v/>
      </c>
      <c r="P68" s="15" t="s">
        <v>173</v>
      </c>
      <c r="Q68" s="15">
        <v>37.0</v>
      </c>
      <c r="R68" s="15" t="s">
        <v>56</v>
      </c>
      <c r="S68" s="15" t="s">
        <v>173</v>
      </c>
      <c r="T68" s="15" t="s">
        <v>195</v>
      </c>
    </row>
    <row r="69" ht="30.75" customHeight="1">
      <c r="A69" s="16" t="s">
        <v>223</v>
      </c>
      <c r="B69" s="16" t="s">
        <v>9</v>
      </c>
      <c r="C69" s="16" t="s">
        <v>224</v>
      </c>
      <c r="D69" s="16">
        <v>44.0</v>
      </c>
      <c r="E69" s="16" t="s">
        <v>56</v>
      </c>
      <c r="F69" s="16" t="s">
        <v>116</v>
      </c>
      <c r="G69" s="16" t="s">
        <v>225</v>
      </c>
      <c r="H69" s="16">
        <v>44.0</v>
      </c>
      <c r="I69" s="14" t="s">
        <v>44</v>
      </c>
      <c r="J69" s="16" t="s">
        <v>226</v>
      </c>
      <c r="K69" s="17" t="s">
        <v>46</v>
      </c>
      <c r="L69" s="17">
        <f>IF(AND(I69="Yes",'Carry list'!$B$4&lt;&gt;"",ISNUMBER('Carry list'!$F$4),'Carry list'!$F$4&gt;=1,'Carry list'!$F$4&lt;=60,'Carry list'!$F$4=INT('Carry list'!$F$4),'Carry list'!$F$4&gt;=D69,OR(E69="All",ISNUMBER(SEARCH('Carry list'!$B$4,E69)))),1,0)</f>
        <v>0</v>
      </c>
      <c r="M69" s="17">
        <f t="shared" si="1"/>
        <v>0</v>
      </c>
      <c r="N69" s="17">
        <f t="shared" si="2"/>
        <v>0</v>
      </c>
      <c r="O69" s="17" t="str">
        <f t="shared" si="3"/>
        <v/>
      </c>
      <c r="P69" s="17" t="s">
        <v>224</v>
      </c>
      <c r="Q69" s="17">
        <v>44.0</v>
      </c>
      <c r="R69" s="17" t="s">
        <v>56</v>
      </c>
      <c r="S69" s="17" t="s">
        <v>227</v>
      </c>
      <c r="T69" s="17" t="s">
        <v>195</v>
      </c>
    </row>
    <row r="70" ht="30.75" customHeight="1">
      <c r="A70" s="13" t="s">
        <v>228</v>
      </c>
      <c r="B70" s="13" t="s">
        <v>9</v>
      </c>
      <c r="C70" s="13" t="s">
        <v>229</v>
      </c>
      <c r="D70" s="13">
        <v>18.0</v>
      </c>
      <c r="E70" s="13" t="s">
        <v>230</v>
      </c>
      <c r="F70" s="13" t="s">
        <v>116</v>
      </c>
      <c r="G70" s="13" t="s">
        <v>231</v>
      </c>
      <c r="H70" s="13">
        <v>18.0</v>
      </c>
      <c r="I70" s="14" t="s">
        <v>44</v>
      </c>
      <c r="J70" s="13" t="s">
        <v>232</v>
      </c>
      <c r="K70" s="15" t="s">
        <v>46</v>
      </c>
      <c r="L70" s="15">
        <f>IF(AND(I70="Yes",'Carry list'!$B$4&lt;&gt;"",ISNUMBER('Carry list'!$F$4),'Carry list'!$F$4&gt;=1,'Carry list'!$F$4&lt;=60,'Carry list'!$F$4=INT('Carry list'!$F$4),'Carry list'!$F$4&gt;=D70,OR(E70="All",ISNUMBER(SEARCH('Carry list'!$B$4,E70)))),1,0)</f>
        <v>0</v>
      </c>
      <c r="M70" s="15">
        <f t="shared" si="1"/>
        <v>0</v>
      </c>
      <c r="N70" s="15">
        <f t="shared" si="2"/>
        <v>0</v>
      </c>
      <c r="O70" s="15" t="str">
        <f t="shared" si="3"/>
        <v/>
      </c>
      <c r="P70" s="15" t="s">
        <v>229</v>
      </c>
      <c r="Q70" s="15">
        <v>18.0</v>
      </c>
      <c r="R70" s="15" t="s">
        <v>230</v>
      </c>
      <c r="S70" s="15" t="s">
        <v>183</v>
      </c>
      <c r="T70" s="15" t="s">
        <v>195</v>
      </c>
    </row>
    <row r="71" ht="30.75" customHeight="1">
      <c r="A71" s="16" t="s">
        <v>233</v>
      </c>
      <c r="B71" s="16" t="s">
        <v>9</v>
      </c>
      <c r="C71" s="16" t="s">
        <v>229</v>
      </c>
      <c r="D71" s="16">
        <v>40.0</v>
      </c>
      <c r="E71" s="16" t="s">
        <v>230</v>
      </c>
      <c r="F71" s="16" t="s">
        <v>116</v>
      </c>
      <c r="G71" s="16" t="s">
        <v>231</v>
      </c>
      <c r="H71" s="16">
        <v>40.0</v>
      </c>
      <c r="I71" s="14" t="s">
        <v>44</v>
      </c>
      <c r="J71" s="16" t="s">
        <v>232</v>
      </c>
      <c r="K71" s="17" t="s">
        <v>46</v>
      </c>
      <c r="L71" s="17">
        <f>IF(AND(I71="Yes",'Carry list'!$B$4&lt;&gt;"",ISNUMBER('Carry list'!$F$4),'Carry list'!$F$4&gt;=1,'Carry list'!$F$4&lt;=60,'Carry list'!$F$4=INT('Carry list'!$F$4),'Carry list'!$F$4&gt;=D71,OR(E71="All",ISNUMBER(SEARCH('Carry list'!$B$4,E71)))),1,0)</f>
        <v>0</v>
      </c>
      <c r="M71" s="17">
        <f t="shared" si="1"/>
        <v>0</v>
      </c>
      <c r="N71" s="17">
        <f t="shared" si="2"/>
        <v>0</v>
      </c>
      <c r="O71" s="17" t="str">
        <f t="shared" si="3"/>
        <v/>
      </c>
      <c r="P71" s="17" t="s">
        <v>229</v>
      </c>
      <c r="Q71" s="17">
        <v>40.0</v>
      </c>
      <c r="R71" s="17" t="s">
        <v>230</v>
      </c>
      <c r="S71" s="17" t="s">
        <v>183</v>
      </c>
      <c r="T71" s="17" t="s">
        <v>195</v>
      </c>
    </row>
    <row r="72" ht="30.75" customHeight="1">
      <c r="A72" s="13" t="s">
        <v>234</v>
      </c>
      <c r="B72" s="13" t="s">
        <v>9</v>
      </c>
      <c r="C72" s="13" t="s">
        <v>235</v>
      </c>
      <c r="D72" s="13">
        <v>28.0</v>
      </c>
      <c r="E72" s="13" t="s">
        <v>236</v>
      </c>
      <c r="F72" s="13" t="s">
        <v>116</v>
      </c>
      <c r="G72" s="13" t="s">
        <v>237</v>
      </c>
      <c r="H72" s="13">
        <v>28.0</v>
      </c>
      <c r="I72" s="14" t="s">
        <v>44</v>
      </c>
      <c r="J72" s="13" t="s">
        <v>232</v>
      </c>
      <c r="K72" s="15" t="s">
        <v>46</v>
      </c>
      <c r="L72" s="15">
        <f>IF(AND(I72="Yes",'Carry list'!$B$4&lt;&gt;"",ISNUMBER('Carry list'!$F$4),'Carry list'!$F$4&gt;=1,'Carry list'!$F$4&lt;=60,'Carry list'!$F$4=INT('Carry list'!$F$4),'Carry list'!$F$4&gt;=D72,OR(E72="All",ISNUMBER(SEARCH('Carry list'!$B$4,E72)))),1,0)</f>
        <v>0</v>
      </c>
      <c r="M72" s="15">
        <f t="shared" si="1"/>
        <v>0</v>
      </c>
      <c r="N72" s="15">
        <f t="shared" si="2"/>
        <v>0</v>
      </c>
      <c r="O72" s="15" t="str">
        <f t="shared" si="3"/>
        <v/>
      </c>
      <c r="P72" s="15" t="s">
        <v>235</v>
      </c>
      <c r="Q72" s="15">
        <v>28.0</v>
      </c>
      <c r="R72" s="15" t="s">
        <v>236</v>
      </c>
      <c r="S72" s="15" t="s">
        <v>183</v>
      </c>
      <c r="T72" s="15" t="s">
        <v>195</v>
      </c>
    </row>
    <row r="73" ht="30.75" customHeight="1">
      <c r="A73" s="16" t="s">
        <v>238</v>
      </c>
      <c r="B73" s="16" t="s">
        <v>9</v>
      </c>
      <c r="C73" s="16" t="s">
        <v>239</v>
      </c>
      <c r="D73" s="16">
        <v>40.0</v>
      </c>
      <c r="E73" s="16" t="s">
        <v>240</v>
      </c>
      <c r="F73" s="16" t="s">
        <v>116</v>
      </c>
      <c r="G73" s="16" t="s">
        <v>241</v>
      </c>
      <c r="H73" s="16">
        <v>40.0</v>
      </c>
      <c r="I73" s="14" t="s">
        <v>44</v>
      </c>
      <c r="J73" s="16" t="s">
        <v>232</v>
      </c>
      <c r="K73" s="17" t="s">
        <v>46</v>
      </c>
      <c r="L73" s="17">
        <f>IF(AND(I73="Yes",'Carry list'!$B$4&lt;&gt;"",ISNUMBER('Carry list'!$F$4),'Carry list'!$F$4&gt;=1,'Carry list'!$F$4&lt;=60,'Carry list'!$F$4=INT('Carry list'!$F$4),'Carry list'!$F$4&gt;=D73,OR(E73="All",ISNUMBER(SEARCH('Carry list'!$B$4,E73)))),1,0)</f>
        <v>0</v>
      </c>
      <c r="M73" s="17">
        <f t="shared" si="1"/>
        <v>0</v>
      </c>
      <c r="N73" s="17">
        <f t="shared" si="2"/>
        <v>0</v>
      </c>
      <c r="O73" s="17" t="str">
        <f t="shared" si="3"/>
        <v/>
      </c>
      <c r="P73" s="17" t="s">
        <v>239</v>
      </c>
      <c r="Q73" s="17">
        <v>40.0</v>
      </c>
      <c r="R73" s="17" t="s">
        <v>240</v>
      </c>
      <c r="S73" s="17" t="s">
        <v>183</v>
      </c>
      <c r="T73" s="17" t="s">
        <v>195</v>
      </c>
    </row>
    <row r="74" ht="30.75" customHeight="1">
      <c r="A74" s="13" t="s">
        <v>242</v>
      </c>
      <c r="B74" s="13" t="s">
        <v>9</v>
      </c>
      <c r="C74" s="13" t="s">
        <v>183</v>
      </c>
      <c r="D74" s="13">
        <v>37.0</v>
      </c>
      <c r="E74" s="13" t="s">
        <v>243</v>
      </c>
      <c r="F74" s="13" t="s">
        <v>116</v>
      </c>
      <c r="G74" s="13" t="s">
        <v>244</v>
      </c>
      <c r="H74" s="13">
        <v>37.0</v>
      </c>
      <c r="I74" s="14" t="s">
        <v>44</v>
      </c>
      <c r="J74" s="13" t="s">
        <v>232</v>
      </c>
      <c r="K74" s="15" t="s">
        <v>46</v>
      </c>
      <c r="L74" s="15">
        <f>IF(AND(I74="Yes",'Carry list'!$B$4&lt;&gt;"",ISNUMBER('Carry list'!$F$4),'Carry list'!$F$4&gt;=1,'Carry list'!$F$4&lt;=60,'Carry list'!$F$4=INT('Carry list'!$F$4),'Carry list'!$F$4&gt;=D74,OR(E74="All",ISNUMBER(SEARCH('Carry list'!$B$4,E74)))),1,0)</f>
        <v>0</v>
      </c>
      <c r="M74" s="15">
        <f t="shared" si="1"/>
        <v>0</v>
      </c>
      <c r="N74" s="15">
        <f t="shared" si="2"/>
        <v>0</v>
      </c>
      <c r="O74" s="15" t="str">
        <f t="shared" si="3"/>
        <v/>
      </c>
      <c r="P74" s="15" t="s">
        <v>183</v>
      </c>
      <c r="Q74" s="15">
        <v>37.0</v>
      </c>
      <c r="R74" s="15" t="s">
        <v>243</v>
      </c>
      <c r="S74" s="15" t="s">
        <v>183</v>
      </c>
      <c r="T74" s="15" t="s">
        <v>195</v>
      </c>
    </row>
    <row r="75" ht="30.75" customHeight="1">
      <c r="A75" s="16" t="s">
        <v>245</v>
      </c>
      <c r="B75" s="16" t="s">
        <v>9</v>
      </c>
      <c r="C75" s="16" t="s">
        <v>183</v>
      </c>
      <c r="D75" s="16">
        <v>47.0</v>
      </c>
      <c r="E75" s="16" t="s">
        <v>243</v>
      </c>
      <c r="F75" s="16" t="s">
        <v>116</v>
      </c>
      <c r="G75" s="16" t="s">
        <v>244</v>
      </c>
      <c r="H75" s="16">
        <v>47.0</v>
      </c>
      <c r="I75" s="14" t="s">
        <v>44</v>
      </c>
      <c r="J75" s="16" t="s">
        <v>232</v>
      </c>
      <c r="K75" s="17" t="s">
        <v>46</v>
      </c>
      <c r="L75" s="17">
        <f>IF(AND(I75="Yes",'Carry list'!$B$4&lt;&gt;"",ISNUMBER('Carry list'!$F$4),'Carry list'!$F$4&gt;=1,'Carry list'!$F$4&lt;=60,'Carry list'!$F$4=INT('Carry list'!$F$4),'Carry list'!$F$4&gt;=D75,OR(E75="All",ISNUMBER(SEARCH('Carry list'!$B$4,E75)))),1,0)</f>
        <v>0</v>
      </c>
      <c r="M75" s="17">
        <f t="shared" si="1"/>
        <v>0</v>
      </c>
      <c r="N75" s="17">
        <f t="shared" si="2"/>
        <v>0</v>
      </c>
      <c r="O75" s="17" t="str">
        <f t="shared" si="3"/>
        <v/>
      </c>
      <c r="P75" s="17" t="s">
        <v>183</v>
      </c>
      <c r="Q75" s="17">
        <v>47.0</v>
      </c>
      <c r="R75" s="17" t="s">
        <v>243</v>
      </c>
      <c r="S75" s="17" t="s">
        <v>183</v>
      </c>
      <c r="T75" s="17" t="s">
        <v>195</v>
      </c>
    </row>
    <row r="76" ht="30.75" customHeight="1">
      <c r="A76" s="13" t="s">
        <v>246</v>
      </c>
      <c r="B76" s="13" t="s">
        <v>9</v>
      </c>
      <c r="C76" s="13" t="s">
        <v>247</v>
      </c>
      <c r="D76" s="13">
        <v>46.0</v>
      </c>
      <c r="E76" s="13" t="s">
        <v>248</v>
      </c>
      <c r="F76" s="13" t="s">
        <v>116</v>
      </c>
      <c r="G76" s="13" t="s">
        <v>249</v>
      </c>
      <c r="H76" s="13">
        <v>46.0</v>
      </c>
      <c r="I76" s="14" t="s">
        <v>44</v>
      </c>
      <c r="J76" s="13" t="s">
        <v>250</v>
      </c>
      <c r="K76" s="15" t="s">
        <v>46</v>
      </c>
      <c r="L76" s="15">
        <f>IF(AND(I76="Yes",'Carry list'!$B$4&lt;&gt;"",ISNUMBER('Carry list'!$F$4),'Carry list'!$F$4&gt;=1,'Carry list'!$F$4&lt;=60,'Carry list'!$F$4=INT('Carry list'!$F$4),'Carry list'!$F$4&gt;=D76,OR(E76="All",ISNUMBER(SEARCH('Carry list'!$B$4,E76)))),1,0)</f>
        <v>0</v>
      </c>
      <c r="M76" s="15">
        <f t="shared" si="1"/>
        <v>0</v>
      </c>
      <c r="N76" s="15">
        <f t="shared" si="2"/>
        <v>0</v>
      </c>
      <c r="O76" s="15" t="str">
        <f t="shared" si="3"/>
        <v/>
      </c>
      <c r="P76" s="15" t="s">
        <v>247</v>
      </c>
      <c r="Q76" s="15">
        <v>46.0</v>
      </c>
      <c r="R76" s="15" t="s">
        <v>248</v>
      </c>
      <c r="S76" s="15" t="s">
        <v>251</v>
      </c>
      <c r="T76" s="15" t="s">
        <v>195</v>
      </c>
    </row>
    <row r="77" ht="30.75" customHeight="1">
      <c r="A77" s="16" t="s">
        <v>252</v>
      </c>
      <c r="B77" s="16" t="s">
        <v>9</v>
      </c>
      <c r="C77" s="16" t="s">
        <v>253</v>
      </c>
      <c r="D77" s="16">
        <v>38.0</v>
      </c>
      <c r="E77" s="16" t="s">
        <v>142</v>
      </c>
      <c r="F77" s="16" t="s">
        <v>116</v>
      </c>
      <c r="G77" s="16" t="s">
        <v>254</v>
      </c>
      <c r="H77" s="16">
        <v>38.0</v>
      </c>
      <c r="I77" s="14" t="s">
        <v>44</v>
      </c>
      <c r="J77" s="16" t="s">
        <v>118</v>
      </c>
      <c r="K77" s="17" t="s">
        <v>46</v>
      </c>
      <c r="L77" s="17">
        <f>IF(AND(I77="Yes",'Carry list'!$B$4&lt;&gt;"",ISNUMBER('Carry list'!$F$4),'Carry list'!$F$4&gt;=1,'Carry list'!$F$4&lt;=60,'Carry list'!$F$4=INT('Carry list'!$F$4),'Carry list'!$F$4&gt;=D77,OR(E77="All",ISNUMBER(SEARCH('Carry list'!$B$4,E77)))),1,0)</f>
        <v>0</v>
      </c>
      <c r="M77" s="17">
        <f t="shared" si="1"/>
        <v>0</v>
      </c>
      <c r="N77" s="17">
        <f t="shared" si="2"/>
        <v>0</v>
      </c>
      <c r="O77" s="17" t="str">
        <f t="shared" si="3"/>
        <v/>
      </c>
      <c r="P77" s="17" t="s">
        <v>253</v>
      </c>
      <c r="Q77" s="17">
        <v>38.0</v>
      </c>
      <c r="R77" s="17" t="s">
        <v>142</v>
      </c>
      <c r="S77" s="17" t="s">
        <v>255</v>
      </c>
      <c r="T77" s="17" t="s">
        <v>195</v>
      </c>
    </row>
    <row r="78" ht="30.75" customHeight="1">
      <c r="A78" s="13" t="s">
        <v>256</v>
      </c>
      <c r="B78" s="13" t="s">
        <v>9</v>
      </c>
      <c r="C78" s="13" t="s">
        <v>257</v>
      </c>
      <c r="D78" s="13">
        <v>40.0</v>
      </c>
      <c r="E78" s="13" t="s">
        <v>258</v>
      </c>
      <c r="F78" s="13" t="s">
        <v>106</v>
      </c>
      <c r="G78" s="13" t="s">
        <v>259</v>
      </c>
      <c r="H78" s="13">
        <v>40.0</v>
      </c>
      <c r="I78" s="14" t="s">
        <v>44</v>
      </c>
      <c r="J78" s="13" t="s">
        <v>118</v>
      </c>
      <c r="K78" s="15" t="s">
        <v>46</v>
      </c>
      <c r="L78" s="15">
        <f>IF(AND(I78="Yes",'Carry list'!$B$4&lt;&gt;"",ISNUMBER('Carry list'!$F$4),'Carry list'!$F$4&gt;=1,'Carry list'!$F$4&lt;=60,'Carry list'!$F$4=INT('Carry list'!$F$4),'Carry list'!$F$4&gt;=D78,OR(E78="All",ISNUMBER(SEARCH('Carry list'!$B$4,E78)))),1,0)</f>
        <v>0</v>
      </c>
      <c r="M78" s="15">
        <f t="shared" si="1"/>
        <v>0</v>
      </c>
      <c r="N78" s="15">
        <f t="shared" si="2"/>
        <v>0</v>
      </c>
      <c r="O78" s="15" t="str">
        <f t="shared" si="3"/>
        <v/>
      </c>
      <c r="P78" s="15" t="s">
        <v>257</v>
      </c>
      <c r="Q78" s="15">
        <v>40.0</v>
      </c>
      <c r="R78" s="15" t="s">
        <v>258</v>
      </c>
      <c r="S78" s="15" t="s">
        <v>260</v>
      </c>
      <c r="T78" s="15" t="s">
        <v>195</v>
      </c>
    </row>
    <row r="79" ht="30.75" customHeight="1">
      <c r="A79" s="16" t="s">
        <v>261</v>
      </c>
      <c r="B79" s="16" t="s">
        <v>9</v>
      </c>
      <c r="C79" s="16" t="s">
        <v>262</v>
      </c>
      <c r="D79" s="16">
        <v>8.0</v>
      </c>
      <c r="E79" s="16" t="s">
        <v>41</v>
      </c>
      <c r="F79" s="16" t="s">
        <v>106</v>
      </c>
      <c r="G79" s="16" t="s">
        <v>263</v>
      </c>
      <c r="H79" s="16">
        <v>8.0</v>
      </c>
      <c r="I79" s="14" t="s">
        <v>44</v>
      </c>
      <c r="J79" s="16" t="s">
        <v>118</v>
      </c>
      <c r="K79" s="17" t="s">
        <v>46</v>
      </c>
      <c r="L79" s="17">
        <f>IF(AND(I79="Yes",'Carry list'!$B$4&lt;&gt;"",ISNUMBER('Carry list'!$F$4),'Carry list'!$F$4&gt;=1,'Carry list'!$F$4&lt;=60,'Carry list'!$F$4=INT('Carry list'!$F$4),'Carry list'!$F$4&gt;=D79,OR(E79="All",ISNUMBER(SEARCH('Carry list'!$B$4,E79)))),1,0)</f>
        <v>1</v>
      </c>
      <c r="M79" s="17">
        <f t="shared" si="1"/>
        <v>0</v>
      </c>
      <c r="N79" s="17">
        <f t="shared" si="2"/>
        <v>1</v>
      </c>
      <c r="O79" s="17" t="str">
        <f t="shared" si="3"/>
        <v>Elixirs5</v>
      </c>
      <c r="P79" s="17" t="s">
        <v>262</v>
      </c>
      <c r="Q79" s="17">
        <v>8.0</v>
      </c>
      <c r="R79" s="17" t="s">
        <v>41</v>
      </c>
      <c r="S79" s="17" t="s">
        <v>106</v>
      </c>
      <c r="T79" s="17" t="s">
        <v>195</v>
      </c>
    </row>
    <row r="80" ht="30.75" customHeight="1">
      <c r="A80" s="13" t="s">
        <v>264</v>
      </c>
      <c r="B80" s="13" t="s">
        <v>9</v>
      </c>
      <c r="C80" s="13" t="s">
        <v>262</v>
      </c>
      <c r="D80" s="13">
        <v>35.0</v>
      </c>
      <c r="E80" s="13" t="s">
        <v>41</v>
      </c>
      <c r="F80" s="13" t="s">
        <v>106</v>
      </c>
      <c r="G80" s="13" t="s">
        <v>263</v>
      </c>
      <c r="H80" s="13">
        <v>35.0</v>
      </c>
      <c r="I80" s="14" t="s">
        <v>44</v>
      </c>
      <c r="J80" s="13" t="s">
        <v>118</v>
      </c>
      <c r="K80" s="15" t="s">
        <v>46</v>
      </c>
      <c r="L80" s="15">
        <f>IF(AND(I80="Yes",'Carry list'!$B$4&lt;&gt;"",ISNUMBER('Carry list'!$F$4),'Carry list'!$F$4&gt;=1,'Carry list'!$F$4&lt;=60,'Carry list'!$F$4=INT('Carry list'!$F$4),'Carry list'!$F$4&gt;=D80,OR(E80="All",ISNUMBER(SEARCH('Carry list'!$B$4,E80)))),1,0)</f>
        <v>0</v>
      </c>
      <c r="M80" s="15">
        <f t="shared" si="1"/>
        <v>0</v>
      </c>
      <c r="N80" s="15">
        <f t="shared" si="2"/>
        <v>0</v>
      </c>
      <c r="O80" s="15" t="str">
        <f t="shared" si="3"/>
        <v/>
      </c>
      <c r="P80" s="15" t="s">
        <v>262</v>
      </c>
      <c r="Q80" s="15">
        <v>35.0</v>
      </c>
      <c r="R80" s="15" t="s">
        <v>41</v>
      </c>
      <c r="S80" s="15" t="s">
        <v>106</v>
      </c>
      <c r="T80" s="15" t="s">
        <v>195</v>
      </c>
    </row>
    <row r="81" ht="30.75" customHeight="1">
      <c r="A81" s="16" t="s">
        <v>265</v>
      </c>
      <c r="B81" s="16" t="s">
        <v>9</v>
      </c>
      <c r="C81" s="16" t="s">
        <v>266</v>
      </c>
      <c r="D81" s="16">
        <v>24.0</v>
      </c>
      <c r="E81" s="16" t="s">
        <v>41</v>
      </c>
      <c r="F81" s="16" t="s">
        <v>106</v>
      </c>
      <c r="G81" s="16" t="s">
        <v>267</v>
      </c>
      <c r="H81" s="16">
        <v>24.0</v>
      </c>
      <c r="I81" s="14" t="s">
        <v>130</v>
      </c>
      <c r="J81" s="16" t="s">
        <v>268</v>
      </c>
      <c r="K81" s="17" t="s">
        <v>269</v>
      </c>
      <c r="L81" s="17">
        <f>IF(AND(I81="Yes",'Carry list'!$B$4&lt;&gt;"",ISNUMBER('Carry list'!$F$4),'Carry list'!$F$4&gt;=1,'Carry list'!$F$4&lt;=60,'Carry list'!$F$4=INT('Carry list'!$F$4),'Carry list'!$F$4&gt;=D81,OR(E81="All",ISNUMBER(SEARCH('Carry list'!$B$4,E81)))),1,0)</f>
        <v>0</v>
      </c>
      <c r="M81" s="17">
        <f t="shared" si="1"/>
        <v>0</v>
      </c>
      <c r="N81" s="17">
        <f t="shared" si="2"/>
        <v>0</v>
      </c>
      <c r="O81" s="17" t="str">
        <f t="shared" si="3"/>
        <v/>
      </c>
      <c r="P81" s="17" t="s">
        <v>266</v>
      </c>
      <c r="Q81" s="17">
        <v>24.0</v>
      </c>
      <c r="R81" s="17" t="s">
        <v>41</v>
      </c>
      <c r="S81" s="17" t="s">
        <v>106</v>
      </c>
      <c r="T81" s="17" t="s">
        <v>195</v>
      </c>
    </row>
    <row r="82" ht="30.75" customHeight="1">
      <c r="A82" s="13" t="s">
        <v>270</v>
      </c>
      <c r="B82" s="13" t="s">
        <v>9</v>
      </c>
      <c r="C82" s="13" t="s">
        <v>271</v>
      </c>
      <c r="D82" s="13">
        <v>29.0</v>
      </c>
      <c r="E82" s="13" t="s">
        <v>41</v>
      </c>
      <c r="F82" s="13" t="s">
        <v>106</v>
      </c>
      <c r="G82" s="13" t="s">
        <v>272</v>
      </c>
      <c r="H82" s="13">
        <v>29.0</v>
      </c>
      <c r="I82" s="14" t="s">
        <v>44</v>
      </c>
      <c r="J82" s="13" t="s">
        <v>118</v>
      </c>
      <c r="K82" s="15" t="s">
        <v>46</v>
      </c>
      <c r="L82" s="15">
        <f>IF(AND(I82="Yes",'Carry list'!$B$4&lt;&gt;"",ISNUMBER('Carry list'!$F$4),'Carry list'!$F$4&gt;=1,'Carry list'!$F$4&lt;=60,'Carry list'!$F$4=INT('Carry list'!$F$4),'Carry list'!$F$4&gt;=D82,OR(E82="All",ISNUMBER(SEARCH('Carry list'!$B$4,E82)))),1,0)</f>
        <v>0</v>
      </c>
      <c r="M82" s="15">
        <f t="shared" si="1"/>
        <v>0</v>
      </c>
      <c r="N82" s="15">
        <f t="shared" si="2"/>
        <v>0</v>
      </c>
      <c r="O82" s="15" t="str">
        <f t="shared" si="3"/>
        <v/>
      </c>
      <c r="P82" s="15" t="s">
        <v>271</v>
      </c>
      <c r="Q82" s="15">
        <v>29.0</v>
      </c>
      <c r="R82" s="15" t="s">
        <v>41</v>
      </c>
      <c r="S82" s="15" t="s">
        <v>273</v>
      </c>
      <c r="T82" s="15" t="s">
        <v>195</v>
      </c>
    </row>
    <row r="83" ht="30.75" customHeight="1">
      <c r="A83" s="16" t="s">
        <v>274</v>
      </c>
      <c r="B83" s="16" t="s">
        <v>9</v>
      </c>
      <c r="C83" s="16" t="s">
        <v>275</v>
      </c>
      <c r="D83" s="16">
        <v>36.0</v>
      </c>
      <c r="E83" s="16" t="s">
        <v>41</v>
      </c>
      <c r="F83" s="16" t="s">
        <v>106</v>
      </c>
      <c r="G83" s="16" t="s">
        <v>276</v>
      </c>
      <c r="H83" s="16">
        <v>36.0</v>
      </c>
      <c r="I83" s="14" t="s">
        <v>44</v>
      </c>
      <c r="J83" s="16" t="s">
        <v>118</v>
      </c>
      <c r="K83" s="17" t="s">
        <v>46</v>
      </c>
      <c r="L83" s="17">
        <f>IF(AND(I83="Yes",'Carry list'!$B$4&lt;&gt;"",ISNUMBER('Carry list'!$F$4),'Carry list'!$F$4&gt;=1,'Carry list'!$F$4&lt;=60,'Carry list'!$F$4=INT('Carry list'!$F$4),'Carry list'!$F$4&gt;=D83,OR(E83="All",ISNUMBER(SEARCH('Carry list'!$B$4,E83)))),1,0)</f>
        <v>0</v>
      </c>
      <c r="M83" s="17">
        <f t="shared" si="1"/>
        <v>0</v>
      </c>
      <c r="N83" s="17">
        <f t="shared" si="2"/>
        <v>0</v>
      </c>
      <c r="O83" s="17" t="str">
        <f t="shared" si="3"/>
        <v/>
      </c>
      <c r="P83" s="17" t="s">
        <v>275</v>
      </c>
      <c r="Q83" s="17">
        <v>36.0</v>
      </c>
      <c r="R83" s="17" t="s">
        <v>41</v>
      </c>
      <c r="S83" s="17" t="s">
        <v>273</v>
      </c>
      <c r="T83" s="17" t="s">
        <v>195</v>
      </c>
    </row>
    <row r="84" ht="30.75" customHeight="1">
      <c r="A84" s="13" t="s">
        <v>277</v>
      </c>
      <c r="B84" s="13" t="s">
        <v>9</v>
      </c>
      <c r="C84" s="13" t="s">
        <v>278</v>
      </c>
      <c r="D84" s="13">
        <v>40.0</v>
      </c>
      <c r="E84" s="13" t="s">
        <v>41</v>
      </c>
      <c r="F84" s="13" t="s">
        <v>106</v>
      </c>
      <c r="G84" s="13" t="s">
        <v>279</v>
      </c>
      <c r="H84" s="13">
        <v>40.0</v>
      </c>
      <c r="I84" s="14" t="s">
        <v>44</v>
      </c>
      <c r="J84" s="13" t="s">
        <v>118</v>
      </c>
      <c r="K84" s="15" t="s">
        <v>46</v>
      </c>
      <c r="L84" s="15">
        <f>IF(AND(I84="Yes",'Carry list'!$B$4&lt;&gt;"",ISNUMBER('Carry list'!$F$4),'Carry list'!$F$4&gt;=1,'Carry list'!$F$4&lt;=60,'Carry list'!$F$4=INT('Carry list'!$F$4),'Carry list'!$F$4&gt;=D84,OR(E84="All",ISNUMBER(SEARCH('Carry list'!$B$4,E84)))),1,0)</f>
        <v>0</v>
      </c>
      <c r="M84" s="15">
        <f t="shared" si="1"/>
        <v>0</v>
      </c>
      <c r="N84" s="15">
        <f t="shared" si="2"/>
        <v>0</v>
      </c>
      <c r="O84" s="15" t="str">
        <f t="shared" si="3"/>
        <v/>
      </c>
      <c r="P84" s="15" t="s">
        <v>278</v>
      </c>
      <c r="Q84" s="15">
        <v>40.0</v>
      </c>
      <c r="R84" s="15" t="s">
        <v>41</v>
      </c>
      <c r="S84" s="15" t="s">
        <v>273</v>
      </c>
      <c r="T84" s="15" t="s">
        <v>195</v>
      </c>
    </row>
    <row r="85" ht="30.75" customHeight="1">
      <c r="A85" s="16" t="s">
        <v>280</v>
      </c>
      <c r="B85" s="16" t="s">
        <v>9</v>
      </c>
      <c r="C85" s="16" t="s">
        <v>281</v>
      </c>
      <c r="D85" s="16">
        <v>30.0</v>
      </c>
      <c r="E85" s="16" t="s">
        <v>41</v>
      </c>
      <c r="F85" s="16" t="s">
        <v>106</v>
      </c>
      <c r="G85" s="16" t="s">
        <v>282</v>
      </c>
      <c r="H85" s="16">
        <v>30.0</v>
      </c>
      <c r="I85" s="14" t="s">
        <v>44</v>
      </c>
      <c r="J85" s="16" t="s">
        <v>118</v>
      </c>
      <c r="K85" s="17" t="s">
        <v>46</v>
      </c>
      <c r="L85" s="17">
        <f>IF(AND(I85="Yes",'Carry list'!$B$4&lt;&gt;"",ISNUMBER('Carry list'!$F$4),'Carry list'!$F$4&gt;=1,'Carry list'!$F$4&lt;=60,'Carry list'!$F$4=INT('Carry list'!$F$4),'Carry list'!$F$4&gt;=D85,OR(E85="All",ISNUMBER(SEARCH('Carry list'!$B$4,E85)))),1,0)</f>
        <v>0</v>
      </c>
      <c r="M85" s="17">
        <f t="shared" si="1"/>
        <v>0</v>
      </c>
      <c r="N85" s="17">
        <f t="shared" si="2"/>
        <v>0</v>
      </c>
      <c r="O85" s="17" t="str">
        <f t="shared" si="3"/>
        <v/>
      </c>
      <c r="P85" s="17" t="s">
        <v>281</v>
      </c>
      <c r="Q85" s="17">
        <v>30.0</v>
      </c>
      <c r="R85" s="17" t="s">
        <v>41</v>
      </c>
      <c r="S85" s="17" t="s">
        <v>106</v>
      </c>
      <c r="T85" s="17" t="s">
        <v>195</v>
      </c>
    </row>
    <row r="86" ht="30.75" customHeight="1">
      <c r="A86" s="13" t="s">
        <v>283</v>
      </c>
      <c r="B86" s="13" t="s">
        <v>9</v>
      </c>
      <c r="C86" s="13" t="s">
        <v>284</v>
      </c>
      <c r="D86" s="13">
        <v>35.0</v>
      </c>
      <c r="E86" s="13" t="s">
        <v>41</v>
      </c>
      <c r="F86" s="13" t="s">
        <v>106</v>
      </c>
      <c r="G86" s="13" t="s">
        <v>285</v>
      </c>
      <c r="H86" s="13">
        <v>35.0</v>
      </c>
      <c r="I86" s="14" t="s">
        <v>44</v>
      </c>
      <c r="J86" s="13" t="s">
        <v>118</v>
      </c>
      <c r="K86" s="15" t="s">
        <v>46</v>
      </c>
      <c r="L86" s="15">
        <f>IF(AND(I86="Yes",'Carry list'!$B$4&lt;&gt;"",ISNUMBER('Carry list'!$F$4),'Carry list'!$F$4&gt;=1,'Carry list'!$F$4&lt;=60,'Carry list'!$F$4=INT('Carry list'!$F$4),'Carry list'!$F$4&gt;=D86,OR(E86="All",ISNUMBER(SEARCH('Carry list'!$B$4,E86)))),1,0)</f>
        <v>0</v>
      </c>
      <c r="M86" s="15">
        <f t="shared" si="1"/>
        <v>0</v>
      </c>
      <c r="N86" s="15">
        <f t="shared" si="2"/>
        <v>0</v>
      </c>
      <c r="O86" s="15" t="str">
        <f t="shared" si="3"/>
        <v/>
      </c>
      <c r="P86" s="15" t="s">
        <v>284</v>
      </c>
      <c r="Q86" s="15">
        <v>35.0</v>
      </c>
      <c r="R86" s="15" t="s">
        <v>41</v>
      </c>
      <c r="S86" s="15" t="s">
        <v>106</v>
      </c>
      <c r="T86" s="15" t="s">
        <v>195</v>
      </c>
    </row>
    <row r="87" ht="30.75" customHeight="1">
      <c r="A87" s="16" t="s">
        <v>286</v>
      </c>
      <c r="B87" s="16" t="s">
        <v>9</v>
      </c>
      <c r="C87" s="16" t="s">
        <v>287</v>
      </c>
      <c r="D87" s="16">
        <v>38.0</v>
      </c>
      <c r="E87" s="16" t="s">
        <v>41</v>
      </c>
      <c r="F87" s="16" t="s">
        <v>106</v>
      </c>
      <c r="G87" s="16" t="s">
        <v>288</v>
      </c>
      <c r="H87" s="16">
        <v>38.0</v>
      </c>
      <c r="I87" s="14" t="s">
        <v>44</v>
      </c>
      <c r="J87" s="16" t="s">
        <v>118</v>
      </c>
      <c r="K87" s="17" t="s">
        <v>46</v>
      </c>
      <c r="L87" s="17">
        <f>IF(AND(I87="Yes",'Carry list'!$B$4&lt;&gt;"",ISNUMBER('Carry list'!$F$4),'Carry list'!$F$4&gt;=1,'Carry list'!$F$4&lt;=60,'Carry list'!$F$4=INT('Carry list'!$F$4),'Carry list'!$F$4&gt;=D87,OR(E87="All",ISNUMBER(SEARCH('Carry list'!$B$4,E87)))),1,0)</f>
        <v>0</v>
      </c>
      <c r="M87" s="17">
        <f t="shared" si="1"/>
        <v>0</v>
      </c>
      <c r="N87" s="17">
        <f t="shared" si="2"/>
        <v>0</v>
      </c>
      <c r="O87" s="17" t="str">
        <f t="shared" si="3"/>
        <v/>
      </c>
      <c r="P87" s="17" t="s">
        <v>287</v>
      </c>
      <c r="Q87" s="17">
        <v>38.0</v>
      </c>
      <c r="R87" s="17" t="s">
        <v>41</v>
      </c>
      <c r="S87" s="17" t="s">
        <v>106</v>
      </c>
      <c r="T87" s="17" t="s">
        <v>195</v>
      </c>
    </row>
    <row r="88" ht="30.75" customHeight="1">
      <c r="A88" s="13" t="s">
        <v>289</v>
      </c>
      <c r="B88" s="13" t="s">
        <v>10</v>
      </c>
      <c r="C88" s="13" t="s">
        <v>290</v>
      </c>
      <c r="D88" s="13">
        <v>1.0</v>
      </c>
      <c r="E88" s="13" t="s">
        <v>41</v>
      </c>
      <c r="F88" s="13" t="s">
        <v>291</v>
      </c>
      <c r="G88" s="13" t="s">
        <v>292</v>
      </c>
      <c r="H88" s="13">
        <v>2.0</v>
      </c>
      <c r="I88" s="14" t="s">
        <v>44</v>
      </c>
      <c r="J88" s="13" t="s">
        <v>293</v>
      </c>
      <c r="K88" s="15" t="s">
        <v>294</v>
      </c>
      <c r="L88" s="15">
        <f>IF(AND(I88="Yes",'Carry list'!$B$4&lt;&gt;"",ISNUMBER('Carry list'!$F$4),'Carry list'!$F$4&gt;=1,'Carry list'!$F$4&lt;=60,'Carry list'!$F$4=INT('Carry list'!$F$4),'Carry list'!$F$4&gt;=D88,OR(E88="All",ISNUMBER(SEARCH('Carry list'!$B$4,E88)))),1,0)</f>
        <v>1</v>
      </c>
      <c r="M88" s="15">
        <f t="shared" si="1"/>
        <v>4</v>
      </c>
      <c r="N88" s="15">
        <f t="shared" si="2"/>
        <v>0</v>
      </c>
      <c r="O88" s="15" t="str">
        <f t="shared" si="3"/>
        <v/>
      </c>
      <c r="P88" s="15"/>
      <c r="Q88" s="15"/>
      <c r="R88" s="15"/>
      <c r="S88" s="15"/>
      <c r="T88" s="15"/>
    </row>
    <row r="89" ht="30.75" customHeight="1">
      <c r="A89" s="16" t="s">
        <v>295</v>
      </c>
      <c r="B89" s="16" t="s">
        <v>10</v>
      </c>
      <c r="C89" s="16" t="s">
        <v>296</v>
      </c>
      <c r="D89" s="16">
        <v>5.0</v>
      </c>
      <c r="E89" s="16" t="s">
        <v>41</v>
      </c>
      <c r="F89" s="16" t="s">
        <v>291</v>
      </c>
      <c r="G89" s="16" t="s">
        <v>292</v>
      </c>
      <c r="H89" s="16">
        <v>4.0</v>
      </c>
      <c r="I89" s="14" t="s">
        <v>44</v>
      </c>
      <c r="J89" s="16" t="s">
        <v>297</v>
      </c>
      <c r="K89" s="17" t="s">
        <v>298</v>
      </c>
      <c r="L89" s="17">
        <f>IF(AND(I89="Yes",'Carry list'!$B$4&lt;&gt;"",ISNUMBER('Carry list'!$F$4),'Carry list'!$F$4&gt;=1,'Carry list'!$F$4&lt;=60,'Carry list'!$F$4=INT('Carry list'!$F$4),'Carry list'!$F$4&gt;=D89,OR(E89="All",ISNUMBER(SEARCH('Carry list'!$B$4,E89)))),1,0)</f>
        <v>1</v>
      </c>
      <c r="M89" s="17">
        <f t="shared" si="1"/>
        <v>3</v>
      </c>
      <c r="N89" s="17">
        <f t="shared" si="2"/>
        <v>0</v>
      </c>
      <c r="O89" s="17" t="str">
        <f t="shared" si="3"/>
        <v/>
      </c>
      <c r="P89" s="17"/>
      <c r="Q89" s="17"/>
      <c r="R89" s="17"/>
      <c r="S89" s="17"/>
      <c r="T89" s="17"/>
    </row>
    <row r="90" ht="30.75" customHeight="1">
      <c r="A90" s="13" t="s">
        <v>299</v>
      </c>
      <c r="B90" s="13" t="s">
        <v>10</v>
      </c>
      <c r="C90" s="13" t="s">
        <v>300</v>
      </c>
      <c r="D90" s="13">
        <v>10.0</v>
      </c>
      <c r="E90" s="13" t="s">
        <v>41</v>
      </c>
      <c r="F90" s="13" t="s">
        <v>291</v>
      </c>
      <c r="G90" s="13" t="s">
        <v>292</v>
      </c>
      <c r="H90" s="13">
        <v>6.0</v>
      </c>
      <c r="I90" s="14" t="s">
        <v>44</v>
      </c>
      <c r="J90" s="13" t="s">
        <v>301</v>
      </c>
      <c r="K90" s="15" t="s">
        <v>302</v>
      </c>
      <c r="L90" s="15">
        <f>IF(AND(I90="Yes",'Carry list'!$B$4&lt;&gt;"",ISNUMBER('Carry list'!$F$4),'Carry list'!$F$4&gt;=1,'Carry list'!$F$4&lt;=60,'Carry list'!$F$4=INT('Carry list'!$F$4),'Carry list'!$F$4&gt;=D90,OR(E90="All",ISNUMBER(SEARCH('Carry list'!$B$4,E90)))),1,0)</f>
        <v>1</v>
      </c>
      <c r="M90" s="15">
        <f t="shared" si="1"/>
        <v>1</v>
      </c>
      <c r="N90" s="15">
        <f t="shared" si="2"/>
        <v>0</v>
      </c>
      <c r="O90" s="15" t="str">
        <f t="shared" si="3"/>
        <v/>
      </c>
      <c r="P90" s="15"/>
      <c r="Q90" s="15"/>
      <c r="R90" s="15"/>
      <c r="S90" s="15"/>
      <c r="T90" s="15"/>
    </row>
    <row r="91" ht="30.75" customHeight="1">
      <c r="A91" s="16" t="s">
        <v>303</v>
      </c>
      <c r="B91" s="16" t="s">
        <v>10</v>
      </c>
      <c r="C91" s="16" t="s">
        <v>300</v>
      </c>
      <c r="D91" s="16">
        <v>15.0</v>
      </c>
      <c r="E91" s="16" t="s">
        <v>41</v>
      </c>
      <c r="F91" s="16" t="s">
        <v>291</v>
      </c>
      <c r="G91" s="16" t="s">
        <v>292</v>
      </c>
      <c r="H91" s="16">
        <v>6.0</v>
      </c>
      <c r="I91" s="14" t="s">
        <v>44</v>
      </c>
      <c r="J91" s="16" t="s">
        <v>304</v>
      </c>
      <c r="K91" s="17" t="s">
        <v>305</v>
      </c>
      <c r="L91" s="17">
        <f>IF(AND(I91="Yes",'Carry list'!$B$4&lt;&gt;"",ISNUMBER('Carry list'!$F$4),'Carry list'!$F$4&gt;=1,'Carry list'!$F$4&lt;=60,'Carry list'!$F$4=INT('Carry list'!$F$4),'Carry list'!$F$4&gt;=D91,OR(E91="All",ISNUMBER(SEARCH('Carry list'!$B$4,E91)))),1,0)</f>
        <v>1</v>
      </c>
      <c r="M91" s="17">
        <f t="shared" si="1"/>
        <v>1</v>
      </c>
      <c r="N91" s="17">
        <f t="shared" si="2"/>
        <v>0</v>
      </c>
      <c r="O91" s="17" t="str">
        <f t="shared" si="3"/>
        <v/>
      </c>
      <c r="P91" s="17"/>
      <c r="Q91" s="17"/>
      <c r="R91" s="17"/>
      <c r="S91" s="17"/>
      <c r="T91" s="17"/>
    </row>
    <row r="92" ht="30.75" customHeight="1">
      <c r="A92" s="13" t="s">
        <v>306</v>
      </c>
      <c r="B92" s="13" t="s">
        <v>10</v>
      </c>
      <c r="C92" s="13" t="s">
        <v>307</v>
      </c>
      <c r="D92" s="13">
        <v>20.0</v>
      </c>
      <c r="E92" s="13" t="s">
        <v>41</v>
      </c>
      <c r="F92" s="13" t="s">
        <v>291</v>
      </c>
      <c r="G92" s="13" t="s">
        <v>292</v>
      </c>
      <c r="H92" s="13">
        <v>8.0</v>
      </c>
      <c r="I92" s="14" t="s">
        <v>44</v>
      </c>
      <c r="J92" s="13" t="s">
        <v>308</v>
      </c>
      <c r="K92" s="15" t="s">
        <v>309</v>
      </c>
      <c r="L92" s="15">
        <f>IF(AND(I92="Yes",'Carry list'!$B$4&lt;&gt;"",ISNUMBER('Carry list'!$F$4),'Carry list'!$F$4&gt;=1,'Carry list'!$F$4&lt;=60,'Carry list'!$F$4=INT('Carry list'!$F$4),'Carry list'!$F$4&gt;=D92,OR(E92="All",ISNUMBER(SEARCH('Carry list'!$B$4,E92)))),1,0)</f>
        <v>1</v>
      </c>
      <c r="M92" s="15">
        <f t="shared" si="1"/>
        <v>0</v>
      </c>
      <c r="N92" s="15">
        <f t="shared" si="2"/>
        <v>1</v>
      </c>
      <c r="O92" s="15" t="str">
        <f t="shared" si="3"/>
        <v>Food1</v>
      </c>
      <c r="P92" s="15"/>
      <c r="Q92" s="15"/>
      <c r="R92" s="15"/>
      <c r="S92" s="15"/>
      <c r="T92" s="15"/>
    </row>
    <row r="93" ht="30.75" customHeight="1">
      <c r="A93" s="16" t="s">
        <v>310</v>
      </c>
      <c r="B93" s="16" t="s">
        <v>10</v>
      </c>
      <c r="C93" s="16" t="s">
        <v>307</v>
      </c>
      <c r="D93" s="16">
        <v>25.0</v>
      </c>
      <c r="E93" s="16" t="s">
        <v>41</v>
      </c>
      <c r="F93" s="16" t="s">
        <v>291</v>
      </c>
      <c r="G93" s="16" t="s">
        <v>292</v>
      </c>
      <c r="H93" s="16">
        <v>8.0</v>
      </c>
      <c r="I93" s="14" t="s">
        <v>44</v>
      </c>
      <c r="J93" s="16" t="s">
        <v>311</v>
      </c>
      <c r="K93" s="17" t="s">
        <v>312</v>
      </c>
      <c r="L93" s="17">
        <f>IF(AND(I93="Yes",'Carry list'!$B$4&lt;&gt;"",ISNUMBER('Carry list'!$F$4),'Carry list'!$F$4&gt;=1,'Carry list'!$F$4&lt;=60,'Carry list'!$F$4=INT('Carry list'!$F$4),'Carry list'!$F$4&gt;=D93,OR(E93="All",ISNUMBER(SEARCH('Carry list'!$B$4,E93)))),1,0)</f>
        <v>0</v>
      </c>
      <c r="M93" s="17">
        <f t="shared" si="1"/>
        <v>0</v>
      </c>
      <c r="N93" s="17">
        <f t="shared" si="2"/>
        <v>0</v>
      </c>
      <c r="O93" s="17" t="str">
        <f t="shared" si="3"/>
        <v/>
      </c>
      <c r="P93" s="17"/>
      <c r="Q93" s="17"/>
      <c r="R93" s="17"/>
      <c r="S93" s="17"/>
      <c r="T93" s="17"/>
    </row>
    <row r="94" ht="30.75" customHeight="1">
      <c r="A94" s="13" t="s">
        <v>313</v>
      </c>
      <c r="B94" s="13" t="s">
        <v>10</v>
      </c>
      <c r="C94" s="13" t="s">
        <v>314</v>
      </c>
      <c r="D94" s="13">
        <v>35.0</v>
      </c>
      <c r="E94" s="13" t="s">
        <v>41</v>
      </c>
      <c r="F94" s="13" t="s">
        <v>291</v>
      </c>
      <c r="G94" s="13" t="s">
        <v>292</v>
      </c>
      <c r="H94" s="13">
        <v>12.0</v>
      </c>
      <c r="I94" s="14" t="s">
        <v>44</v>
      </c>
      <c r="J94" s="13" t="s">
        <v>315</v>
      </c>
      <c r="K94" s="15" t="s">
        <v>316</v>
      </c>
      <c r="L94" s="15">
        <f>IF(AND(I94="Yes",'Carry list'!$B$4&lt;&gt;"",ISNUMBER('Carry list'!$F$4),'Carry list'!$F$4&gt;=1,'Carry list'!$F$4&lt;=60,'Carry list'!$F$4=INT('Carry list'!$F$4),'Carry list'!$F$4&gt;=D94,OR(E94="All",ISNUMBER(SEARCH('Carry list'!$B$4,E94)))),1,0)</f>
        <v>0</v>
      </c>
      <c r="M94" s="15">
        <f t="shared" si="1"/>
        <v>0</v>
      </c>
      <c r="N94" s="15">
        <f t="shared" si="2"/>
        <v>0</v>
      </c>
      <c r="O94" s="15" t="str">
        <f t="shared" si="3"/>
        <v/>
      </c>
      <c r="P94" s="15"/>
      <c r="Q94" s="15"/>
      <c r="R94" s="15"/>
      <c r="S94" s="15"/>
      <c r="T94" s="15"/>
    </row>
    <row r="95" ht="30.75" customHeight="1">
      <c r="A95" s="16" t="s">
        <v>317</v>
      </c>
      <c r="B95" s="16" t="s">
        <v>10</v>
      </c>
      <c r="C95" s="16" t="s">
        <v>318</v>
      </c>
      <c r="D95" s="16">
        <v>10.0</v>
      </c>
      <c r="E95" s="16" t="s">
        <v>319</v>
      </c>
      <c r="F95" s="16" t="s">
        <v>291</v>
      </c>
      <c r="G95" s="16" t="s">
        <v>320</v>
      </c>
      <c r="H95" s="16">
        <v>3.0</v>
      </c>
      <c r="I95" s="14" t="s">
        <v>44</v>
      </c>
      <c r="J95" s="16" t="s">
        <v>321</v>
      </c>
      <c r="K95" s="17" t="s">
        <v>322</v>
      </c>
      <c r="L95" s="17">
        <f>IF(AND(I95="Yes",'Carry list'!$B$4&lt;&gt;"",ISNUMBER('Carry list'!$F$4),'Carry list'!$F$4&gt;=1,'Carry list'!$F$4&lt;=60,'Carry list'!$F$4=INT('Carry list'!$F$4),'Carry list'!$F$4&gt;=D95,OR(E95="All",ISNUMBER(SEARCH('Carry list'!$B$4,E95)))),1,0)</f>
        <v>1</v>
      </c>
      <c r="M95" s="17">
        <f t="shared" si="1"/>
        <v>0</v>
      </c>
      <c r="N95" s="17">
        <f t="shared" si="2"/>
        <v>1</v>
      </c>
      <c r="O95" s="17" t="str">
        <f t="shared" si="3"/>
        <v>Food2</v>
      </c>
      <c r="P95" s="17"/>
      <c r="Q95" s="17"/>
      <c r="R95" s="17"/>
      <c r="S95" s="17"/>
      <c r="T95" s="17"/>
    </row>
    <row r="96" ht="30.75" customHeight="1">
      <c r="A96" s="13" t="s">
        <v>323</v>
      </c>
      <c r="B96" s="13" t="s">
        <v>10</v>
      </c>
      <c r="C96" s="13" t="s">
        <v>324</v>
      </c>
      <c r="D96" s="13">
        <v>30.0</v>
      </c>
      <c r="E96" s="13" t="s">
        <v>319</v>
      </c>
      <c r="F96" s="13" t="s">
        <v>291</v>
      </c>
      <c r="G96" s="13" t="s">
        <v>320</v>
      </c>
      <c r="H96" s="13">
        <v>6.0</v>
      </c>
      <c r="I96" s="14" t="s">
        <v>44</v>
      </c>
      <c r="J96" s="13" t="s">
        <v>321</v>
      </c>
      <c r="K96" s="15" t="s">
        <v>325</v>
      </c>
      <c r="L96" s="15">
        <f>IF(AND(I96="Yes",'Carry list'!$B$4&lt;&gt;"",ISNUMBER('Carry list'!$F$4),'Carry list'!$F$4&gt;=1,'Carry list'!$F$4&lt;=60,'Carry list'!$F$4=INT('Carry list'!$F$4),'Carry list'!$F$4&gt;=D96,OR(E96="All",ISNUMBER(SEARCH('Carry list'!$B$4,E96)))),1,0)</f>
        <v>0</v>
      </c>
      <c r="M96" s="15">
        <f t="shared" si="1"/>
        <v>0</v>
      </c>
      <c r="N96" s="15">
        <f t="shared" si="2"/>
        <v>0</v>
      </c>
      <c r="O96" s="15" t="str">
        <f t="shared" si="3"/>
        <v/>
      </c>
      <c r="P96" s="15"/>
      <c r="Q96" s="15"/>
      <c r="R96" s="15"/>
      <c r="S96" s="15"/>
      <c r="T96" s="15"/>
    </row>
    <row r="97" ht="30.75" customHeight="1">
      <c r="A97" s="16" t="s">
        <v>326</v>
      </c>
      <c r="B97" s="16" t="s">
        <v>10</v>
      </c>
      <c r="C97" s="16" t="s">
        <v>327</v>
      </c>
      <c r="D97" s="16">
        <v>35.0</v>
      </c>
      <c r="E97" s="16" t="s">
        <v>319</v>
      </c>
      <c r="F97" s="16" t="s">
        <v>291</v>
      </c>
      <c r="G97" s="16" t="s">
        <v>320</v>
      </c>
      <c r="H97" s="16">
        <v>8.0</v>
      </c>
      <c r="I97" s="14" t="s">
        <v>44</v>
      </c>
      <c r="J97" s="16" t="s">
        <v>321</v>
      </c>
      <c r="K97" s="17" t="s">
        <v>328</v>
      </c>
      <c r="L97" s="17">
        <f>IF(AND(I97="Yes",'Carry list'!$B$4&lt;&gt;"",ISNUMBER('Carry list'!$F$4),'Carry list'!$F$4&gt;=1,'Carry list'!$F$4&lt;=60,'Carry list'!$F$4=INT('Carry list'!$F$4),'Carry list'!$F$4&gt;=D97,OR(E97="All",ISNUMBER(SEARCH('Carry list'!$B$4,E97)))),1,0)</f>
        <v>0</v>
      </c>
      <c r="M97" s="17">
        <f t="shared" si="1"/>
        <v>0</v>
      </c>
      <c r="N97" s="17">
        <f t="shared" si="2"/>
        <v>0</v>
      </c>
      <c r="O97" s="17" t="str">
        <f t="shared" si="3"/>
        <v/>
      </c>
      <c r="P97" s="17"/>
      <c r="Q97" s="17"/>
      <c r="R97" s="17"/>
      <c r="S97" s="17"/>
      <c r="T97" s="17"/>
    </row>
    <row r="98" ht="30.75" customHeight="1">
      <c r="A98" s="13" t="s">
        <v>329</v>
      </c>
      <c r="B98" s="13" t="s">
        <v>10</v>
      </c>
      <c r="C98" s="13" t="s">
        <v>330</v>
      </c>
      <c r="D98" s="13">
        <v>35.0</v>
      </c>
      <c r="E98" s="13" t="s">
        <v>331</v>
      </c>
      <c r="F98" s="13" t="s">
        <v>291</v>
      </c>
      <c r="G98" s="13" t="s">
        <v>332</v>
      </c>
      <c r="H98" s="13">
        <v>10.0</v>
      </c>
      <c r="I98" s="14" t="s">
        <v>44</v>
      </c>
      <c r="J98" s="13" t="s">
        <v>333</v>
      </c>
      <c r="K98" s="15" t="s">
        <v>334</v>
      </c>
      <c r="L98" s="15">
        <f>IF(AND(I98="Yes",'Carry list'!$B$4&lt;&gt;"",ISNUMBER('Carry list'!$F$4),'Carry list'!$F$4&gt;=1,'Carry list'!$F$4&lt;=60,'Carry list'!$F$4=INT('Carry list'!$F$4),'Carry list'!$F$4&gt;=D98,OR(E98="All",ISNUMBER(SEARCH('Carry list'!$B$4,E98)))),1,0)</f>
        <v>0</v>
      </c>
      <c r="M98" s="15">
        <f t="shared" si="1"/>
        <v>0</v>
      </c>
      <c r="N98" s="15">
        <f t="shared" si="2"/>
        <v>0</v>
      </c>
      <c r="O98" s="15" t="str">
        <f t="shared" si="3"/>
        <v/>
      </c>
      <c r="P98" s="15"/>
      <c r="Q98" s="15"/>
      <c r="R98" s="15"/>
      <c r="S98" s="15"/>
      <c r="T98" s="15"/>
    </row>
    <row r="99" ht="30.75" customHeight="1">
      <c r="A99" s="16" t="s">
        <v>335</v>
      </c>
      <c r="B99" s="16" t="s">
        <v>10</v>
      </c>
      <c r="C99" s="16" t="s">
        <v>336</v>
      </c>
      <c r="D99" s="16">
        <v>45.0</v>
      </c>
      <c r="E99" s="16" t="s">
        <v>319</v>
      </c>
      <c r="F99" s="16" t="s">
        <v>291</v>
      </c>
      <c r="G99" s="16" t="s">
        <v>337</v>
      </c>
      <c r="H99" s="16">
        <v>10.0</v>
      </c>
      <c r="I99" s="14" t="s">
        <v>44</v>
      </c>
      <c r="J99" s="16" t="s">
        <v>338</v>
      </c>
      <c r="K99" s="17" t="s">
        <v>339</v>
      </c>
      <c r="L99" s="17">
        <f>IF(AND(I99="Yes",'Carry list'!$B$4&lt;&gt;"",ISNUMBER('Carry list'!$F$4),'Carry list'!$F$4&gt;=1,'Carry list'!$F$4&lt;=60,'Carry list'!$F$4=INT('Carry list'!$F$4),'Carry list'!$F$4&gt;=D99,OR(E99="All",ISNUMBER(SEARCH('Carry list'!$B$4,E99)))),1,0)</f>
        <v>0</v>
      </c>
      <c r="M99" s="17">
        <f t="shared" si="1"/>
        <v>0</v>
      </c>
      <c r="N99" s="17">
        <f t="shared" si="2"/>
        <v>0</v>
      </c>
      <c r="O99" s="17" t="str">
        <f t="shared" si="3"/>
        <v/>
      </c>
      <c r="P99" s="17"/>
      <c r="Q99" s="17"/>
      <c r="R99" s="17"/>
      <c r="S99" s="17"/>
      <c r="T99" s="17"/>
    </row>
    <row r="100" ht="30.75" customHeight="1">
      <c r="A100" s="13" t="s">
        <v>340</v>
      </c>
      <c r="B100" s="13" t="s">
        <v>10</v>
      </c>
      <c r="C100" s="13" t="s">
        <v>341</v>
      </c>
      <c r="D100" s="13">
        <v>45.0</v>
      </c>
      <c r="E100" s="13" t="s">
        <v>160</v>
      </c>
      <c r="F100" s="13" t="s">
        <v>291</v>
      </c>
      <c r="G100" s="13" t="s">
        <v>342</v>
      </c>
      <c r="H100" s="13">
        <v>20.0</v>
      </c>
      <c r="I100" s="14" t="s">
        <v>44</v>
      </c>
      <c r="J100" s="13" t="s">
        <v>343</v>
      </c>
      <c r="K100" s="15" t="s">
        <v>344</v>
      </c>
      <c r="L100" s="15">
        <f>IF(AND(I100="Yes",'Carry list'!$B$4&lt;&gt;"",ISNUMBER('Carry list'!$F$4),'Carry list'!$F$4&gt;=1,'Carry list'!$F$4&lt;=60,'Carry list'!$F$4=INT('Carry list'!$F$4),'Carry list'!$F$4&gt;=D100,OR(E100="All",ISNUMBER(SEARCH('Carry list'!$B$4,E100)))),1,0)</f>
        <v>0</v>
      </c>
      <c r="M100" s="15">
        <f t="shared" si="1"/>
        <v>0</v>
      </c>
      <c r="N100" s="15">
        <f t="shared" si="2"/>
        <v>0</v>
      </c>
      <c r="O100" s="15" t="str">
        <f t="shared" si="3"/>
        <v/>
      </c>
      <c r="P100" s="15"/>
      <c r="Q100" s="15"/>
      <c r="R100" s="15"/>
      <c r="S100" s="15"/>
      <c r="T100" s="15"/>
    </row>
    <row r="101" ht="30.75" customHeight="1">
      <c r="A101" s="16" t="s">
        <v>345</v>
      </c>
      <c r="B101" s="16" t="s">
        <v>10</v>
      </c>
      <c r="C101" s="16" t="s">
        <v>346</v>
      </c>
      <c r="D101" s="16">
        <v>55.0</v>
      </c>
      <c r="E101" s="16" t="s">
        <v>41</v>
      </c>
      <c r="F101" s="16" t="s">
        <v>347</v>
      </c>
      <c r="G101" s="16" t="s">
        <v>348</v>
      </c>
      <c r="H101" s="16">
        <v>25.0</v>
      </c>
      <c r="I101" s="14" t="s">
        <v>44</v>
      </c>
      <c r="J101" s="16" t="s">
        <v>349</v>
      </c>
      <c r="K101" s="17" t="s">
        <v>350</v>
      </c>
      <c r="L101" s="17">
        <f>IF(AND(I101="Yes",'Carry list'!$B$4&lt;&gt;"",ISNUMBER('Carry list'!$F$4),'Carry list'!$F$4&gt;=1,'Carry list'!$F$4&lt;=60,'Carry list'!$F$4=INT('Carry list'!$F$4),'Carry list'!$F$4&gt;=D101,OR(E101="All",ISNUMBER(SEARCH('Carry list'!$B$4,E101)))),1,0)</f>
        <v>0</v>
      </c>
      <c r="M101" s="17">
        <f t="shared" si="1"/>
        <v>0</v>
      </c>
      <c r="N101" s="17">
        <f t="shared" si="2"/>
        <v>0</v>
      </c>
      <c r="O101" s="17" t="str">
        <f t="shared" si="3"/>
        <v/>
      </c>
      <c r="P101" s="17"/>
      <c r="Q101" s="17"/>
      <c r="R101" s="17"/>
      <c r="S101" s="17"/>
      <c r="T101" s="17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I8:I101">
      <formula1>"Yes,No"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